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nosiba/Downloads/"/>
    </mc:Choice>
  </mc:AlternateContent>
  <xr:revisionPtr revIDLastSave="0" documentId="8_{5B5BAC23-20A8-C34E-B605-321FFFD2D18B}" xr6:coauthVersionLast="47" xr6:coauthVersionMax="47" xr10:uidLastSave="{00000000-0000-0000-0000-000000000000}"/>
  <bookViews>
    <workbookView xWindow="0" yWindow="20" windowWidth="28800" windowHeight="16740" activeTab="3" xr2:uid="{00000000-000D-0000-FFFF-FFFF00000000}"/>
  </bookViews>
  <sheets>
    <sheet name="Introduzione " sheetId="6" r:id="rId1"/>
    <sheet name="Giudizio" sheetId="2" r:id="rId2"/>
    <sheet name="Frutta" sheetId="4" r:id="rId3"/>
    <sheet name="Fatture" sheetId="3" r:id="rId4"/>
  </sheets>
  <definedNames>
    <definedName name="ACCES">#REF!</definedName>
    <definedName name="CAB">#REF!</definedName>
    <definedName name="CDROM">#REF!</definedName>
    <definedName name="Codice">#REF!</definedName>
    <definedName name="CONT">#REF!</definedName>
    <definedName name="CPU">#REF!</definedName>
    <definedName name="DANIELE">#REF!</definedName>
    <definedName name="DATI">#REF!</definedName>
    <definedName name="HD">#REF!</definedName>
    <definedName name="IMPO">#REF!</definedName>
    <definedName name="IMPORTO">#REF!</definedName>
    <definedName name="IO_B">#REF!</definedName>
    <definedName name="IVATOT">#REF!</definedName>
    <definedName name="MAIN_B">#REF!</definedName>
    <definedName name="MAST">#REF!</definedName>
    <definedName name="MEDIA">#REF!</definedName>
    <definedName name="MEM">#REF!</definedName>
    <definedName name="MO">#REF!</definedName>
    <definedName name="MODEM">#REF!</definedName>
    <definedName name="MON">#REF!</definedName>
    <definedName name="MONLCD">#REF!</definedName>
    <definedName name="SOFT">#REF!</definedName>
    <definedName name="STAMP">#REF!</definedName>
    <definedName name="TAST">#REF!</definedName>
    <definedName name="VIDEO_B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A8c3j6Gpcs9WxxLyaMhfa3BNFHmcVokSSfOSfierkvI="/>
    </ext>
  </extLst>
</workbook>
</file>

<file path=xl/calcChain.xml><?xml version="1.0" encoding="utf-8"?>
<calcChain xmlns="http://schemas.openxmlformats.org/spreadsheetml/2006/main">
  <c r="K85" i="3" l="1"/>
  <c r="J85" i="3"/>
  <c r="S12" i="3" a="1"/>
  <c r="S12" i="3" s="1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F9" i="4" a="1"/>
  <c r="G13" i="4" s="1"/>
  <c r="D9" i="4"/>
  <c r="D8" i="4"/>
  <c r="S8" i="3"/>
  <c r="S7" i="3"/>
  <c r="D8" i="2"/>
  <c r="D9" i="2"/>
  <c r="D10" i="2"/>
  <c r="D11" i="2"/>
  <c r="D12" i="2"/>
  <c r="D13" i="2"/>
  <c r="D7" i="2"/>
  <c r="C7" i="2"/>
  <c r="C8" i="2"/>
  <c r="C9" i="2"/>
  <c r="C10" i="2"/>
  <c r="C11" i="2"/>
  <c r="C12" i="2"/>
  <c r="C13" i="2"/>
  <c r="G12" i="4" l="1"/>
  <c r="F9" i="4"/>
  <c r="G9" i="4" s="1"/>
  <c r="G10" i="4"/>
  <c r="G11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<sst xmlns="http://schemas.openxmlformats.org/spreadsheetml/2006/main" count="418" uniqueCount="126">
  <si>
    <t xml:space="preserve">Nome </t>
  </si>
  <si>
    <t>Punteggio</t>
  </si>
  <si>
    <t>Tamburini Ivo</t>
  </si>
  <si>
    <t>Tamburini Lorenzo</t>
  </si>
  <si>
    <t>Zadra Loris</t>
  </si>
  <si>
    <t>Gagliardi Daniele</t>
  </si>
  <si>
    <t>Maria Genta</t>
  </si>
  <si>
    <t>Fabrizio Corona</t>
  </si>
  <si>
    <t>Roberto Scarola</t>
  </si>
  <si>
    <t>Data</t>
  </si>
  <si>
    <t>Cliente</t>
  </si>
  <si>
    <t>Categoria</t>
  </si>
  <si>
    <t>Importo fattura</t>
  </si>
  <si>
    <t>Spese di spedizione</t>
  </si>
  <si>
    <t>Ferguson and Bardell</t>
  </si>
  <si>
    <t>Abbigliamento</t>
  </si>
  <si>
    <t>Chateau St. Mark</t>
  </si>
  <si>
    <t>H&amp;B</t>
  </si>
  <si>
    <t>Svago</t>
  </si>
  <si>
    <t>Fletcher's for Children</t>
  </si>
  <si>
    <t>Attrezzatura</t>
  </si>
  <si>
    <t>Barber Shop</t>
  </si>
  <si>
    <t>Personale</t>
  </si>
  <si>
    <t>Allstate</t>
  </si>
  <si>
    <t>Assicurazione</t>
  </si>
  <si>
    <t>Canon USA</t>
  </si>
  <si>
    <t>Ufficio</t>
  </si>
  <si>
    <t>America Online</t>
  </si>
  <si>
    <t>Posta elettronica</t>
  </si>
  <si>
    <t>Deluxe Business Forms</t>
  </si>
  <si>
    <t>Agora Publishing</t>
  </si>
  <si>
    <t>Manuali</t>
  </si>
  <si>
    <t>Mobili</t>
  </si>
  <si>
    <t>Furrow Building Materials</t>
  </si>
  <si>
    <t>Educazione dei figli</t>
  </si>
  <si>
    <t>Chinaberry Book</t>
  </si>
  <si>
    <t>Alaska Airlines</t>
  </si>
  <si>
    <t>Viaggio d'affari</t>
  </si>
  <si>
    <t>American Airlines</t>
  </si>
  <si>
    <t>DeFrisco's</t>
  </si>
  <si>
    <t>Ristorante</t>
  </si>
  <si>
    <t>Biobottoms</t>
  </si>
  <si>
    <t>Airport City Taxi</t>
  </si>
  <si>
    <t>Viaggio d'affari: trasporto</t>
  </si>
  <si>
    <t>Epcot Center</t>
  </si>
  <si>
    <t>Biergarten</t>
  </si>
  <si>
    <t>Viaggio d'affari: pasti</t>
  </si>
  <si>
    <t>Dolphin Hotel</t>
  </si>
  <si>
    <t>After the Stork</t>
  </si>
  <si>
    <t>DAK Industries</t>
  </si>
  <si>
    <t>Chambers</t>
  </si>
  <si>
    <t>Regali</t>
  </si>
  <si>
    <t>Cap n Jacks</t>
  </si>
  <si>
    <t>Dallas Airport</t>
  </si>
  <si>
    <t>Avis</t>
  </si>
  <si>
    <t>Annual fee</t>
  </si>
  <si>
    <t>Operazioni bancarie</t>
  </si>
  <si>
    <t>Concession Air, Portland Airport</t>
  </si>
  <si>
    <t>Bagels</t>
  </si>
  <si>
    <t>Salute</t>
  </si>
  <si>
    <t>Childcraft Catalog</t>
  </si>
  <si>
    <t>Giocattoli e libri</t>
  </si>
  <si>
    <t>Gateway 2000</t>
  </si>
  <si>
    <t>Hardware</t>
  </si>
  <si>
    <t>Brights Creek</t>
  </si>
  <si>
    <t>Classic Cab Company</t>
  </si>
  <si>
    <t>David Kay</t>
  </si>
  <si>
    <t>Abitazione</t>
  </si>
  <si>
    <t>Evergreen Photo</t>
  </si>
  <si>
    <t>Gardeners Eden</t>
  </si>
  <si>
    <t>Elco Computers</t>
  </si>
  <si>
    <t>DeLorme Publishing</t>
  </si>
  <si>
    <t>Software ufficio</t>
  </si>
  <si>
    <t>Food Value</t>
  </si>
  <si>
    <t>Alimentari</t>
  </si>
  <si>
    <t>Friendship House</t>
  </si>
  <si>
    <t>Great Harvest Bakery</t>
  </si>
  <si>
    <t>GG&amp;G</t>
  </si>
  <si>
    <t>Benzina</t>
  </si>
  <si>
    <t>Best Products</t>
  </si>
  <si>
    <t>Cato Institute</t>
  </si>
  <si>
    <t>Baker's Pharmacy</t>
  </si>
  <si>
    <t>Bridgewater Restaurant, Florence</t>
  </si>
  <si>
    <t>H &amp; B Recordings</t>
  </si>
  <si>
    <t>Flower Market</t>
  </si>
  <si>
    <t>Colonna 1</t>
  </si>
  <si>
    <t>Colonna 2</t>
  </si>
  <si>
    <t>Passaggi completati</t>
  </si>
  <si>
    <t>FRUTTA</t>
  </si>
  <si>
    <t>PESO</t>
  </si>
  <si>
    <t>COSTO</t>
  </si>
  <si>
    <t>PREZZO UNITARIO SENZA ERRORE</t>
  </si>
  <si>
    <t>LISTINO</t>
  </si>
  <si>
    <t>Mela</t>
  </si>
  <si>
    <t>PREZZO MEDIO</t>
  </si>
  <si>
    <t>Banana</t>
  </si>
  <si>
    <t>Arancia</t>
  </si>
  <si>
    <t>Pera</t>
  </si>
  <si>
    <t>Uva</t>
  </si>
  <si>
    <t>Costruisci un piccolo listino con il prezzo unitario di ogni frutto, poi riporta accanto a ogni righe il prezzo corrispondente al frutto della colonna A</t>
  </si>
  <si>
    <t xml:space="preserve"> Determina quante fatture
 appartengono alla categoria "Abbigliamento e calcola Il totale del loro importi. 
</t>
  </si>
  <si>
    <t xml:space="preserve"> Estrai in un'area libera solo le fatture con importo superiori a 40,000 e presentale ordinate dall’importo più alto al più basso. </t>
  </si>
  <si>
    <t xml:space="preserve">Converti l'intervallo dati del folio "Fatture" in una Tabella, assegnale un nome e calcola il totale degli import usando I riferimenti strutturati. </t>
  </si>
  <si>
    <t xml:space="preserve">PASSAGGI COMPLETATI: </t>
  </si>
  <si>
    <t xml:space="preserve">FATTURE </t>
  </si>
  <si>
    <r>
      <rPr>
        <sz val="14"/>
        <color theme="1"/>
        <rFont val="Calibri"/>
        <family val="2"/>
        <scheme val="minor"/>
      </rPr>
      <t xml:space="preserve">FATTURE SUPERIORI A 40,000 </t>
    </r>
    <r>
      <rPr>
        <b/>
        <sz val="14"/>
        <color theme="1"/>
        <rFont val="Calibri"/>
        <family val="2"/>
        <scheme val="minor"/>
      </rPr>
      <t>= ORDINA-FILTRO</t>
    </r>
  </si>
  <si>
    <r>
      <t xml:space="preserve">TOT. IMPORTI ABBIGLIAMNETO </t>
    </r>
    <r>
      <rPr>
        <b/>
        <sz val="14"/>
        <color theme="1"/>
        <rFont val="Calibri"/>
        <family val="2"/>
        <scheme val="minor"/>
      </rPr>
      <t>= (SOMMA.SE)</t>
    </r>
  </si>
  <si>
    <r>
      <t>N.FATTURE ABBIGLIAMENTO</t>
    </r>
    <r>
      <rPr>
        <b/>
        <sz val="14"/>
        <color theme="1"/>
        <rFont val="Calibri"/>
        <family val="2"/>
        <scheme val="minor"/>
      </rPr>
      <t xml:space="preserve"> = (CONTA.SE)</t>
    </r>
  </si>
  <si>
    <r>
      <t xml:space="preserve">Prezzo unitraio per righe colonna (D) </t>
    </r>
    <r>
      <rPr>
        <b/>
        <sz val="14"/>
        <color rgb="FF000000"/>
        <rFont val="Calibri"/>
        <family val="2"/>
        <scheme val="minor"/>
      </rPr>
      <t>=SE.SERRORE(COSTO/PESO);0)</t>
    </r>
  </si>
  <si>
    <r>
      <t xml:space="preserve">Tabella listino </t>
    </r>
    <r>
      <rPr>
        <b/>
        <sz val="14"/>
        <color rgb="FF000000"/>
        <rFont val="Calibri"/>
        <family val="2"/>
        <scheme val="minor"/>
      </rPr>
      <t>=UNICI / =SOMMA.Più.SE / =CONTA.PIÚ.SE</t>
    </r>
  </si>
  <si>
    <t>Esercizio 1</t>
  </si>
  <si>
    <t>Esercizio 2</t>
  </si>
  <si>
    <t>Esercizio 3</t>
  </si>
  <si>
    <t>Esercizio 4</t>
  </si>
  <si>
    <t>Esercizio 5</t>
  </si>
  <si>
    <t>Esercizio 6</t>
  </si>
  <si>
    <r>
      <t>Nel folio "</t>
    </r>
    <r>
      <rPr>
        <b/>
        <sz val="18"/>
        <color rgb="FF004F88"/>
        <rFont val="Calibri"/>
        <family val="2"/>
        <scheme val="minor"/>
      </rPr>
      <t>Giudizio</t>
    </r>
    <r>
      <rPr>
        <sz val="18"/>
        <color rgb="FF004F88"/>
        <rFont val="Calibri"/>
        <family val="2"/>
        <scheme val="minor"/>
      </rPr>
      <t>”aggiungi una colonna che assegnia "Sufficiente" a chi ha almeno 60 punti e "Insufficiente" agli altri, poi estendi la logica a tutte le righe.</t>
    </r>
  </si>
  <si>
    <r>
      <t>Esercizio 2 -    sempre nel foglio "</t>
    </r>
    <r>
      <rPr>
        <b/>
        <sz val="18"/>
        <color rgb="FF004F88"/>
        <rFont val="Calibri"/>
        <family val="2"/>
        <scheme val="minor"/>
      </rPr>
      <t>Giudizio</t>
    </r>
    <r>
      <rPr>
        <sz val="18"/>
        <color rgb="FF004F88"/>
        <rFont val="Calibri"/>
        <family val="2"/>
        <scheme val="minor"/>
      </rPr>
      <t>", assegna in una nuova colonna tre fasce di merito: "Buono" da 70 in su. "Discreto” tra 60 e 69,"Insufficiente” sotto 60.</t>
    </r>
  </si>
  <si>
    <r>
      <t>Nel foglio "</t>
    </r>
    <r>
      <rPr>
        <b/>
        <sz val="18"/>
        <color rgb="FF004F88"/>
        <rFont val="Calibri"/>
        <family val="2"/>
        <scheme val="minor"/>
      </rPr>
      <t>Fatture</t>
    </r>
    <r>
      <rPr>
        <sz val="18"/>
        <color rgb="FF004F88"/>
        <rFont val="Calibri"/>
        <family val="2"/>
        <scheme val="minor"/>
      </rPr>
      <t xml:space="preserve">" determina quante fatture appartengono alla categoria "Abbigliamento e calcola Il totale del loro importi. 
</t>
    </r>
  </si>
  <si>
    <r>
      <t xml:space="preserve">Nel foglio " </t>
    </r>
    <r>
      <rPr>
        <b/>
        <sz val="18"/>
        <color rgb="FF004F88"/>
        <rFont val="Calibri"/>
        <family val="2"/>
        <scheme val="minor"/>
      </rPr>
      <t xml:space="preserve">Frutta </t>
    </r>
    <r>
      <rPr>
        <sz val="18"/>
        <color rgb="FF004F88"/>
        <rFont val="Calibri"/>
        <family val="2"/>
        <scheme val="minor"/>
      </rPr>
      <t>"costruisci un piccolo listino con il prezzo unitario di ogni frutto, poi riporta accanto a ogni righe il prezzo corrispondente al frutto della colonna A</t>
    </r>
  </si>
  <si>
    <r>
      <t>Nel folio "</t>
    </r>
    <r>
      <rPr>
        <b/>
        <sz val="18"/>
        <color rgb="FF004F88"/>
        <rFont val="Calibri"/>
        <family val="2"/>
        <scheme val="minor"/>
      </rPr>
      <t>Frutta</t>
    </r>
    <r>
      <rPr>
        <sz val="18"/>
        <color rgb="FF004F88"/>
        <rFont val="Calibri"/>
        <family val="2"/>
        <scheme val="minor"/>
      </rPr>
      <t xml:space="preserve">" estrai in un'area libera solo le fatture con importo superiori a 40,000 e presentale ordinate dall’importo più alto al più basso. </t>
    </r>
  </si>
  <si>
    <r>
      <t>Converti l'intervallo dati del folio "</t>
    </r>
    <r>
      <rPr>
        <b/>
        <sz val="18"/>
        <color rgb="FF004F88"/>
        <rFont val="Calibri"/>
        <family val="2"/>
        <scheme val="minor"/>
      </rPr>
      <t>Fatture</t>
    </r>
    <r>
      <rPr>
        <sz val="18"/>
        <color rgb="FF004F88"/>
        <rFont val="Calibri"/>
        <family val="2"/>
        <scheme val="minor"/>
      </rPr>
      <t xml:space="preserve">" in una Tabella, assegnale un nome e calcola il totale degli import usando I riferimenti strutturati. </t>
    </r>
  </si>
  <si>
    <t>Aggiungi una colonna che assegnia "Sufficiente" a chi ha almeno 60 punti e "Insufficiente" agli altri, poi estendi la logica a tutte le righe.</t>
  </si>
  <si>
    <t>Assegna in una nuova colonna tre fasce di merito: "Buono" da 70 in su. "Discreto” tra 60 e 69,"Insufficiente” sotto 60.</t>
  </si>
  <si>
    <t>ESERCIZI -  FUNZIONI LOGICHE_ RICERCA E AGGREGAZIONE CONDIZIONALE_ TABELLE E MODELLI_ DINAMICHE 365 </t>
  </si>
  <si>
    <t xml:space="preserve">Totale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</si>
</sst>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4" formatCode="_-* #,##0.00\ &quot;€&quot;_-;\-* #,##0.00\ &quot;€&quot;_-;_-* &quot;-&quot;??\ &quot;€&quot;_-;_-@_-"/>
    <numFmt numFmtId="164" formatCode="_-[$€-410]\ * #,##0.00_-;\-[$€-410]\ * #,##0.00_-;_-[$€-410]\ * &quot;-&quot;??_-;_-@"/>
    <numFmt numFmtId="165" formatCode="d/m/yyyy"/>
    <numFmt numFmtId="166" formatCode="#,##0.00\ &quot;€&quot;"/>
  </numFmts>
  <fonts count="28" x14ac:knownFonts="1">
    <font>
      <sz val="10"/>
      <color rgb="FF000000"/>
      <name val="Calibri"/>
      <scheme val="minor"/>
    </font>
    <font>
      <sz val="10"/>
      <color theme="1"/>
      <name val="Arial"/>
      <family val="2"/>
    </font>
    <font>
      <b/>
      <sz val="10"/>
      <color theme="1"/>
      <name val="Verdana"/>
      <family val="2"/>
    </font>
    <font>
      <sz val="10"/>
      <color theme="1"/>
      <name val="Calibri"/>
      <family val="2"/>
      <scheme val="minor"/>
    </font>
    <font>
      <b/>
      <sz val="13"/>
      <color rgb="FF1F497D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  <scheme val="minor"/>
    </font>
    <font>
      <sz val="10"/>
      <color theme="4"/>
      <name val="Calibri"/>
      <family val="2"/>
      <scheme val="minor"/>
    </font>
    <font>
      <b/>
      <sz val="10"/>
      <color theme="4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i/>
      <sz val="10"/>
      <color theme="4"/>
      <name val="Calibri"/>
      <family val="2"/>
      <scheme val="minor"/>
    </font>
    <font>
      <b/>
      <sz val="12"/>
      <color rgb="FF004F88"/>
      <name val="Calibri"/>
      <family val="2"/>
      <scheme val="minor"/>
    </font>
    <font>
      <i/>
      <sz val="12"/>
      <color rgb="FF004F88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4"/>
      <color rgb="FF004F88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sz val="18"/>
      <color rgb="FF004F88"/>
      <name val="Calibri"/>
      <family val="2"/>
      <scheme val="minor"/>
    </font>
    <font>
      <b/>
      <sz val="18"/>
      <color rgb="FF004F88"/>
      <name val="Calibri"/>
      <family val="2"/>
      <scheme val="minor"/>
    </font>
    <font>
      <sz val="18"/>
      <color rgb="FF000000"/>
      <name val="Calibri"/>
      <family val="2"/>
      <scheme val="minor"/>
    </font>
    <font>
      <b/>
      <sz val="26"/>
      <color theme="4"/>
      <name val="Calibri"/>
      <family val="2"/>
      <scheme val="minor"/>
    </font>
    <font>
      <sz val="13"/>
      <color rgb="FF000000"/>
      <name val="Helvetica Neue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39997558519241921"/>
        <bgColor rgb="FFFFCC99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rgb="FFA6BFD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44" fontId="6" fillId="0" borderId="0" applyFont="0" applyFill="0" applyBorder="0" applyAlignment="0" applyProtection="0"/>
  </cellStyleXfs>
  <cellXfs count="57">
    <xf numFmtId="0" fontId="0" fillId="0" borderId="0" xfId="0"/>
    <xf numFmtId="0" fontId="1" fillId="0" borderId="0" xfId="0" applyFont="1"/>
    <xf numFmtId="0" fontId="3" fillId="2" borderId="0" xfId="0" applyFont="1" applyFill="1"/>
    <xf numFmtId="0" fontId="3" fillId="0" borderId="0" xfId="0" applyFont="1"/>
    <xf numFmtId="165" fontId="1" fillId="0" borderId="0" xfId="0" applyNumberFormat="1" applyFont="1"/>
    <xf numFmtId="0" fontId="5" fillId="0" borderId="0" xfId="0" applyFont="1"/>
    <xf numFmtId="164" fontId="1" fillId="0" borderId="0" xfId="0" applyNumberFormat="1" applyFont="1"/>
    <xf numFmtId="0" fontId="6" fillId="0" borderId="0" xfId="0" applyFont="1"/>
    <xf numFmtId="0" fontId="2" fillId="4" borderId="0" xfId="0" applyFont="1" applyFill="1"/>
    <xf numFmtId="0" fontId="10" fillId="0" borderId="0" xfId="0" applyFont="1" applyAlignment="1">
      <alignment vertical="center"/>
    </xf>
    <xf numFmtId="0" fontId="4" fillId="3" borderId="1" xfId="0" applyFont="1" applyFill="1" applyBorder="1"/>
    <xf numFmtId="164" fontId="4" fillId="3" borderId="1" xfId="0" applyNumberFormat="1" applyFont="1" applyFill="1" applyBorder="1"/>
    <xf numFmtId="0" fontId="8" fillId="0" borderId="0" xfId="0" applyFont="1"/>
    <xf numFmtId="0" fontId="13" fillId="0" borderId="0" xfId="0" applyFont="1"/>
    <xf numFmtId="0" fontId="14" fillId="0" borderId="0" xfId="0" applyFont="1"/>
    <xf numFmtId="0" fontId="6" fillId="0" borderId="0" xfId="0" applyFont="1" applyAlignment="1">
      <alignment horizontal="right"/>
      <extLst>
        <ext xmlns:xfpb="http://schemas.microsoft.com/office/spreadsheetml/2022/featurepropertybag" uri="{C7286773-470A-42A8-94C5-96B5CB345126}">
          <xfpb:xfComplement i="0"/>
        </ext>
      </extLst>
    </xf>
    <xf numFmtId="0" fontId="12" fillId="0" borderId="0" xfId="0" applyFont="1"/>
    <xf numFmtId="0" fontId="7" fillId="0" borderId="0" xfId="0" applyFont="1"/>
    <xf numFmtId="44" fontId="3" fillId="0" borderId="0" xfId="1" applyFont="1"/>
    <xf numFmtId="44" fontId="3" fillId="7" borderId="3" xfId="1" applyFont="1" applyFill="1" applyBorder="1"/>
    <xf numFmtId="44" fontId="3" fillId="0" borderId="3" xfId="1" applyFont="1" applyBorder="1"/>
    <xf numFmtId="166" fontId="0" fillId="0" borderId="0" xfId="0" applyNumberFormat="1"/>
    <xf numFmtId="0" fontId="16" fillId="0" borderId="0" xfId="0" applyFont="1"/>
    <xf numFmtId="164" fontId="4" fillId="3" borderId="1" xfId="0" applyNumberFormat="1" applyFont="1" applyFill="1" applyBorder="1" applyAlignment="1">
      <alignment wrapText="1"/>
    </xf>
    <xf numFmtId="0" fontId="11" fillId="0" borderId="0" xfId="0" applyFont="1" applyAlignment="1">
      <alignment vertical="center"/>
    </xf>
    <xf numFmtId="0" fontId="11" fillId="0" borderId="0" xfId="0" applyFont="1"/>
    <xf numFmtId="0" fontId="3" fillId="3" borderId="0" xfId="0" applyFont="1" applyFill="1"/>
    <xf numFmtId="0" fontId="17" fillId="3" borderId="0" xfId="0" applyFont="1" applyFill="1"/>
    <xf numFmtId="0" fontId="15" fillId="0" borderId="0" xfId="0" applyFont="1"/>
    <xf numFmtId="44" fontId="15" fillId="0" borderId="0" xfId="1" applyFont="1" applyFill="1" applyBorder="1"/>
    <xf numFmtId="0" fontId="11" fillId="3" borderId="0" xfId="0" applyFont="1" applyFill="1"/>
    <xf numFmtId="44" fontId="0" fillId="0" borderId="0" xfId="0" applyNumberFormat="1"/>
    <xf numFmtId="0" fontId="11" fillId="3" borderId="0" xfId="0" applyFont="1" applyFill="1" applyAlignment="1">
      <alignment horizontal="center"/>
    </xf>
    <xf numFmtId="0" fontId="19" fillId="3" borderId="0" xfId="0" applyFont="1" applyFill="1"/>
    <xf numFmtId="0" fontId="21" fillId="0" borderId="0" xfId="0" applyFont="1"/>
    <xf numFmtId="0" fontId="0" fillId="8" borderId="0" xfId="0" applyFill="1"/>
    <xf numFmtId="0" fontId="22" fillId="8" borderId="0" xfId="0" applyFont="1" applyFill="1" applyAlignment="1">
      <alignment horizontal="right" wrapText="1"/>
    </xf>
    <xf numFmtId="0" fontId="23" fillId="5" borderId="0" xfId="0" applyFont="1" applyFill="1"/>
    <xf numFmtId="0" fontId="25" fillId="5" borderId="0" xfId="0" applyFont="1" applyFill="1"/>
    <xf numFmtId="0" fontId="22" fillId="0" borderId="0" xfId="0" applyFont="1" applyAlignment="1">
      <alignment horizontal="right" wrapText="1"/>
    </xf>
    <xf numFmtId="0" fontId="23" fillId="8" borderId="0" xfId="0" applyFont="1" applyFill="1"/>
    <xf numFmtId="0" fontId="25" fillId="8" borderId="0" xfId="0" applyFont="1" applyFill="1"/>
    <xf numFmtId="0" fontId="22" fillId="6" borderId="0" xfId="0" applyFont="1" applyFill="1" applyAlignment="1">
      <alignment horizontal="right" wrapText="1"/>
    </xf>
    <xf numFmtId="0" fontId="25" fillId="0" borderId="0" xfId="0" applyFont="1"/>
    <xf numFmtId="0" fontId="22" fillId="3" borderId="0" xfId="0" applyFont="1" applyFill="1" applyAlignment="1">
      <alignment horizontal="right" wrapText="1"/>
    </xf>
    <xf numFmtId="0" fontId="23" fillId="5" borderId="0" xfId="0" applyFont="1" applyFill="1" applyAlignment="1">
      <alignment horizontal="left"/>
    </xf>
    <xf numFmtId="0" fontId="23" fillId="6" borderId="0" xfId="0" applyFont="1" applyFill="1" applyAlignment="1">
      <alignment horizontal="left"/>
    </xf>
    <xf numFmtId="0" fontId="23" fillId="3" borderId="0" xfId="0" applyFont="1" applyFill="1"/>
    <xf numFmtId="0" fontId="25" fillId="3" borderId="0" xfId="0" applyFont="1" applyFill="1"/>
    <xf numFmtId="44" fontId="18" fillId="8" borderId="0" xfId="1" applyFont="1" applyFill="1" applyBorder="1"/>
    <xf numFmtId="0" fontId="27" fillId="0" borderId="0" xfId="0" applyFont="1"/>
    <xf numFmtId="0" fontId="4" fillId="0" borderId="1" xfId="0" applyFont="1" applyBorder="1"/>
    <xf numFmtId="164" fontId="4" fillId="0" borderId="1" xfId="0" applyNumberFormat="1" applyFont="1" applyBorder="1"/>
    <xf numFmtId="165" fontId="1" fillId="3" borderId="0" xfId="0" applyNumberFormat="1" applyFont="1" applyFill="1"/>
    <xf numFmtId="0" fontId="5" fillId="3" borderId="0" xfId="0" applyFont="1" applyFill="1"/>
    <xf numFmtId="164" fontId="1" fillId="3" borderId="0" xfId="0" applyNumberFormat="1" applyFont="1" applyFill="1"/>
    <xf numFmtId="0" fontId="26" fillId="8" borderId="2" xfId="0" applyFont="1" applyFill="1" applyBorder="1" applyAlignment="1">
      <alignment horizontal="center"/>
    </xf>
  </cellXfs>
  <cellStyles count="2">
    <cellStyle name="Normale" xfId="0" builtinId="0"/>
    <cellStyle name="Valuta" xfId="1" builtinId="4"/>
  </cellStyles>
  <dxfs count="2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[$€-410]\ * #,##0.00_-;\-[$€-410]\ * #,##0.00_-;_-[$€-410]\ * &quot;-&quot;??_-;_-@"/>
      <fill>
        <patternFill patternType="solid">
          <fgColor indexed="64"/>
          <bgColor theme="4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[$€-410]\ * #,##0.00_-;\-[$€-410]\ * #,##0.00_-;_-[$€-410]\ * &quot;-&quot;??_-;_-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[$€-410]\ * #,##0.00_-;\-[$€-410]\ * #,##0.00_-;_-[$€-410]\ * &quot;-&quot;??_-;_-@"/>
      <fill>
        <patternFill patternType="solid">
          <fgColor indexed="64"/>
          <bgColor theme="4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-[$€-410]\ * #,##0.00_-;\-[$€-410]\ * #,##0.00_-;_-[$€-410]\ * &quot;-&quot;??_-;_-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4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4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d/m/yyyy"/>
      <fill>
        <patternFill patternType="solid">
          <fgColor indexed="64"/>
          <bgColor theme="4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d/m/yyyy"/>
    </dxf>
    <dxf>
      <fill>
        <patternFill patternType="solid">
          <fgColor indexed="64"/>
          <bgColor theme="4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border outline="0">
        <bottom style="thick">
          <color rgb="FFA6BFD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rgb="FF1F497D"/>
        <name val="Calibri"/>
        <family val="2"/>
        <scheme val="none"/>
      </font>
      <fill>
        <patternFill patternType="solid">
          <fgColor indexed="64"/>
          <bgColor theme="4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border outline="0">
        <bottom style="thick">
          <color rgb="FFA6BFD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rgb="FF1F497D"/>
        <name val="Calibri"/>
        <family val="2"/>
        <scheme val="none"/>
      </font>
      <numFmt numFmtId="164" formatCode="_-[$€-410]\ * #,##0.00_-;\-[$€-410]\ * #,##0.00_-;_-[$€-410]\ * &quot;-&quot;??_-;_-@"/>
      <fill>
        <patternFill patternType="solid">
          <fgColor indexed="64"/>
          <bgColor theme="4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0"/>
          <bgColor theme="0"/>
        </patternFill>
      </fill>
    </dxf>
  </dxfs>
  <tableStyles count="1">
    <tableStyle name="Giudizio-style" pivot="0" count="3" xr9:uid="{00000000-0011-0000-FFFF-FFFF00000000}">
      <tableStyleElement type="headerRow" dxfId="24"/>
      <tableStyleElement type="firstRowStripe" dxfId="23"/>
      <tableStyleElement type="secondRowStripe" dxfId="2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12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eetMetadata" Target="metadata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6:D13" headerRowCount="0">
  <tableColumns count="4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398B77D9-215F-CB41-BE92-7D181985C2AA}" name="Colonna1" dataDxfId="21"/>
  </tableColumns>
  <tableStyleInfo name="Giudizio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83BDEC1-3606-574E-8E87-A693AC34B066}" name="Tabella4" displayName="Tabella4" ref="A7:D53" totalsRowShown="0" headerRowDxfId="20" dataDxfId="18" headerRowBorderDxfId="19">
  <autoFilter ref="A7:D53" xr:uid="{A83BDEC1-3606-574E-8E87-A693AC34B066}"/>
  <tableColumns count="4">
    <tableColumn id="1" xr3:uid="{BFE8E2E5-56D5-FC4B-90A6-C16B2B8BC74D}" name="FRUTTA" dataDxfId="17"/>
    <tableColumn id="2" xr3:uid="{93F54327-0224-6A4A-A351-282800FB5AD8}" name="PESO" dataDxfId="16"/>
    <tableColumn id="3" xr3:uid="{D6DEA467-DB63-FE46-A09D-E11E849F0B60}" name="COSTO" dataDxfId="15"/>
    <tableColumn id="4" xr3:uid="{6971CB8F-3171-0141-AFB3-7BE06D9619D1}" name="PREZZO UNITARIO SENZA ERRORE" dataDxfId="14" dataCellStyle="Valuta">
      <calculatedColumnFormula>IFERROR(Tabella4[[#This Row],[PESO]]/Tabella4[[#This Row],[COSTO]],0)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9803112-9900-2444-9E30-6B3A378D12EB}" name="TabellaFatture" displayName="TabellaFatture" ref="G5:K85" totalsRowCount="1" headerRowDxfId="13" dataDxfId="11" totalsRowDxfId="10" headerRowBorderDxfId="12">
  <autoFilter ref="G5:K84" xr:uid="{59803112-9900-2444-9E30-6B3A378D12EB}"/>
  <tableColumns count="5">
    <tableColumn id="1" xr3:uid="{CE5A75F1-9793-B048-9D31-4D1CDF62203B}" name="Data" totalsRowLabel="Totale " dataDxfId="9" totalsRowDxfId="8"/>
    <tableColumn id="2" xr3:uid="{64AAA23A-41C4-AA44-A048-5B672F5E6965}" name="Cliente" dataDxfId="7" totalsRowDxfId="6"/>
    <tableColumn id="3" xr3:uid="{9B8EF133-904A-574B-B412-792ABFD89790}" name="Categoria" dataDxfId="5" totalsRowDxfId="4"/>
    <tableColumn id="4" xr3:uid="{84A94DF4-C6F6-1F42-8ECB-C247142C8425}" name="Importo fattura" totalsRowFunction="sum" dataDxfId="3" totalsRowDxfId="2"/>
    <tableColumn id="5" xr3:uid="{0415FF03-B622-7446-9361-8203EEB00BAA}" name="Spese di spedizione" totalsRowFunction="sum" dataDxfId="1" totalsRow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5F104-6D44-514B-BB2E-FEC771D6AEDC}">
  <dimension ref="B2:I24"/>
  <sheetViews>
    <sheetView zoomScale="50" zoomScaleNormal="100" workbookViewId="0">
      <selection activeCell="B2" sqref="B2:C2"/>
    </sheetView>
  </sheetViews>
  <sheetFormatPr baseColWidth="10" defaultRowHeight="14" x14ac:dyDescent="0.2"/>
  <cols>
    <col min="1" max="1" width="4" customWidth="1"/>
    <col min="2" max="2" width="29.59765625" customWidth="1"/>
    <col min="3" max="3" width="256" bestFit="1" customWidth="1"/>
  </cols>
  <sheetData>
    <row r="2" spans="2:9" ht="34" x14ac:dyDescent="0.4">
      <c r="B2" s="56" t="s">
        <v>124</v>
      </c>
      <c r="C2" s="56"/>
    </row>
    <row r="4" spans="2:9" ht="25" x14ac:dyDescent="0.3">
      <c r="B4" s="36" t="s">
        <v>110</v>
      </c>
      <c r="C4" s="37" t="s">
        <v>116</v>
      </c>
      <c r="D4" s="38"/>
      <c r="E4" s="38"/>
      <c r="F4" s="38"/>
      <c r="G4" s="38"/>
      <c r="H4" s="38"/>
      <c r="I4" s="38"/>
    </row>
    <row r="5" spans="2:9" ht="25" x14ac:dyDescent="0.3">
      <c r="B5" s="39" t="s">
        <v>111</v>
      </c>
      <c r="C5" s="40" t="s">
        <v>117</v>
      </c>
      <c r="D5" s="41"/>
      <c r="E5" s="41"/>
      <c r="F5" s="41"/>
      <c r="G5" s="41"/>
      <c r="H5" s="41"/>
      <c r="I5" s="41"/>
    </row>
    <row r="6" spans="2:9" ht="25" x14ac:dyDescent="0.3">
      <c r="B6" s="42" t="s">
        <v>112</v>
      </c>
      <c r="C6" s="45" t="s">
        <v>118</v>
      </c>
      <c r="D6" s="43"/>
      <c r="E6" s="43"/>
      <c r="F6" s="43"/>
      <c r="G6" s="43"/>
      <c r="H6" s="43"/>
      <c r="I6" s="43"/>
    </row>
    <row r="7" spans="2:9" ht="25" x14ac:dyDescent="0.3">
      <c r="B7" s="39" t="s">
        <v>113</v>
      </c>
      <c r="C7" s="46" t="s">
        <v>119</v>
      </c>
      <c r="D7" s="46"/>
      <c r="E7" s="46"/>
      <c r="F7" s="46"/>
      <c r="G7" s="46"/>
      <c r="H7" s="46"/>
      <c r="I7" s="46"/>
    </row>
    <row r="8" spans="2:9" ht="25" x14ac:dyDescent="0.3">
      <c r="B8" s="44" t="s">
        <v>114</v>
      </c>
      <c r="C8" s="37" t="s">
        <v>120</v>
      </c>
      <c r="D8" s="43"/>
      <c r="E8" s="43"/>
      <c r="F8" s="43"/>
      <c r="G8" s="43"/>
      <c r="H8" s="43"/>
      <c r="I8" s="43"/>
    </row>
    <row r="9" spans="2:9" ht="25" x14ac:dyDescent="0.3">
      <c r="B9" s="39" t="s">
        <v>115</v>
      </c>
      <c r="C9" s="47" t="s">
        <v>121</v>
      </c>
      <c r="D9" s="48"/>
      <c r="E9" s="48"/>
      <c r="F9" s="48"/>
      <c r="G9" s="48"/>
      <c r="H9" s="48"/>
      <c r="I9" s="48"/>
    </row>
    <row r="18" spans="3:3" x14ac:dyDescent="0.2">
      <c r="C18" s="7"/>
    </row>
    <row r="24" spans="3:3" ht="17" x14ac:dyDescent="0.2">
      <c r="C24" s="50"/>
    </row>
  </sheetData>
  <mergeCells count="1">
    <mergeCell ref="B2:C2"/>
  </mergeCells>
  <phoneticPr fontId="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4"/>
  <sheetViews>
    <sheetView zoomScale="125" workbookViewId="0">
      <selection activeCell="L6" sqref="L6"/>
    </sheetView>
  </sheetViews>
  <sheetFormatPr baseColWidth="10" defaultColWidth="14.3984375" defaultRowHeight="15" customHeight="1" x14ac:dyDescent="0.2"/>
  <cols>
    <col min="1" max="1" width="16.19921875" customWidth="1"/>
    <col min="2" max="2" width="18.59765625" customWidth="1"/>
    <col min="3" max="3" width="12.3984375" bestFit="1" customWidth="1"/>
    <col min="4" max="4" width="14" customWidth="1"/>
    <col min="5" max="5" width="9.19921875" customWidth="1"/>
    <col min="6" max="6" width="7.19921875" customWidth="1"/>
    <col min="7" max="7" width="14.19921875" customWidth="1"/>
    <col min="8" max="8" width="8" customWidth="1"/>
    <col min="9" max="26" width="9.19921875" customWidth="1"/>
  </cols>
  <sheetData>
    <row r="1" spans="1:26" s="12" customFormat="1" ht="14" x14ac:dyDescent="0.2"/>
    <row r="2" spans="1:26" s="7" customFormat="1" ht="16" x14ac:dyDescent="0.2">
      <c r="A2" s="14" t="s">
        <v>122</v>
      </c>
      <c r="B2" s="17"/>
      <c r="C2" s="17"/>
      <c r="D2" s="3"/>
      <c r="E2" s="16"/>
      <c r="F2" s="17"/>
      <c r="G2" s="17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s="7" customFormat="1" ht="16" x14ac:dyDescent="0.2">
      <c r="A3" s="14" t="s">
        <v>123</v>
      </c>
      <c r="B3" s="17"/>
      <c r="C3" s="17"/>
      <c r="D3" s="3"/>
      <c r="E3" s="16"/>
      <c r="F3" s="17"/>
      <c r="G3" s="17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s="7" customFormat="1" ht="14" customHeight="1" x14ac:dyDescent="0.2">
      <c r="A4"/>
      <c r="B4"/>
      <c r="C4"/>
      <c r="D4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s="7" customFormat="1" ht="14" customHeight="1" x14ac:dyDescent="0.2">
      <c r="A5"/>
      <c r="B5"/>
      <c r="C5" s="15" t="b">
        <v>1</v>
      </c>
      <c r="D5" s="15" t="b">
        <v>1</v>
      </c>
      <c r="E5" s="1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4" x14ac:dyDescent="0.2">
      <c r="A6" s="8" t="s">
        <v>0</v>
      </c>
      <c r="B6" s="8" t="s">
        <v>1</v>
      </c>
      <c r="C6" s="8" t="s">
        <v>85</v>
      </c>
      <c r="D6" s="8" t="s">
        <v>86</v>
      </c>
      <c r="E6" s="1"/>
      <c r="G6" s="1"/>
      <c r="H6" s="1"/>
      <c r="I6" s="1"/>
      <c r="J6" s="1"/>
      <c r="K6" s="1"/>
      <c r="L6" s="1"/>
      <c r="M6" s="1"/>
      <c r="N6" s="1"/>
      <c r="O6" s="1"/>
      <c r="P6" s="1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4" x14ac:dyDescent="0.2">
      <c r="A7" s="2" t="s">
        <v>2</v>
      </c>
      <c r="B7" s="2">
        <v>40</v>
      </c>
      <c r="C7" s="2" t="str">
        <f>IF(Table_1[[#This Row],[Column2]]&gt;=60,"Sufficienti","Insufficenti")</f>
        <v>Insufficenti</v>
      </c>
      <c r="D7" s="1" t="str">
        <f>IF(Table_1[[#This Row],[Column2]]&gt;=70,"Buono",IF(Table_1[[#This Row],[Column2]]&gt;=60,"Discreto","Insufficiente"))</f>
        <v>Insufficiente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2.75" customHeight="1" x14ac:dyDescent="0.2">
      <c r="A8" s="2" t="s">
        <v>3</v>
      </c>
      <c r="B8" s="2">
        <v>60</v>
      </c>
      <c r="C8" s="2" t="str">
        <f>IF(Table_1[[#This Row],[Column2]]&gt;=60,"Sufficienti","Insufficenti")</f>
        <v>Sufficienti</v>
      </c>
      <c r="D8" s="1" t="str">
        <f>IF(Table_1[[#This Row],[Column2]]&gt;=70,"Buono",IF(Table_1[[#This Row],[Column2]]&gt;=60,"Discreto","Insufficiente"))</f>
        <v>Discreto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4" x14ac:dyDescent="0.2">
      <c r="A9" s="2" t="s">
        <v>4</v>
      </c>
      <c r="B9" s="2">
        <v>60</v>
      </c>
      <c r="C9" s="2" t="str">
        <f>IF(Table_1[[#This Row],[Column2]]&gt;=60,"Sufficienti","Insufficenti")</f>
        <v>Sufficienti</v>
      </c>
      <c r="D9" s="1" t="str">
        <f>IF(Table_1[[#This Row],[Column2]]&gt;=70,"Buono",IF(Table_1[[#This Row],[Column2]]&gt;=60,"Discreto","Insufficiente"))</f>
        <v>Discreto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2.75" customHeight="1" x14ac:dyDescent="0.2">
      <c r="A10" s="2" t="s">
        <v>5</v>
      </c>
      <c r="B10" s="2">
        <v>40</v>
      </c>
      <c r="C10" s="2" t="str">
        <f>IF(Table_1[[#This Row],[Column2]]&gt;=60,"Sufficienti","Insufficenti")</f>
        <v>Insufficenti</v>
      </c>
      <c r="D10" s="1" t="str">
        <f>IF(Table_1[[#This Row],[Column2]]&gt;=70,"Buono",IF(Table_1[[#This Row],[Column2]]&gt;=60,"Discreto","Insufficiente"))</f>
        <v>Insufficiente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customHeight="1" x14ac:dyDescent="0.2">
      <c r="A11" s="2" t="s">
        <v>6</v>
      </c>
      <c r="B11" s="2">
        <v>70</v>
      </c>
      <c r="C11" s="2" t="str">
        <f>IF(Table_1[[#This Row],[Column2]]&gt;=60,"Sufficienti","Insufficenti")</f>
        <v>Sufficienti</v>
      </c>
      <c r="D11" s="1" t="str">
        <f>IF(Table_1[[#This Row],[Column2]]&gt;=70,"Buono",IF(Table_1[[#This Row],[Column2]]&gt;=60,"Discreto","Insufficiente"))</f>
        <v>Buono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.75" customHeight="1" x14ac:dyDescent="0.2">
      <c r="A12" s="2" t="s">
        <v>7</v>
      </c>
      <c r="B12" s="2">
        <v>0</v>
      </c>
      <c r="C12" s="2" t="str">
        <f>IF(Table_1[[#This Row],[Column2]]&gt;=60,"Sufficienti","Insufficenti")</f>
        <v>Insufficenti</v>
      </c>
      <c r="D12" s="1" t="str">
        <f>IF(Table_1[[#This Row],[Column2]]&gt;=70,"Buono",IF(Table_1[[#This Row],[Column2]]&gt;=60,"Discreto","Insufficiente"))</f>
        <v>Insufficiente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2.75" customHeight="1" x14ac:dyDescent="0.2">
      <c r="A13" s="2" t="s">
        <v>8</v>
      </c>
      <c r="B13" s="2">
        <v>0</v>
      </c>
      <c r="C13" s="2" t="str">
        <f>IF(Table_1[[#This Row],[Column2]]&gt;=60,"Sufficienti","Insufficenti")</f>
        <v>Insufficenti</v>
      </c>
      <c r="D13" s="1" t="str">
        <f>IF(Table_1[[#This Row],[Column2]]&gt;=70,"Buono",IF(Table_1[[#This Row],[Column2]]&gt;=60,"Discreto","Insufficiente"))</f>
        <v>Insufficiente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2.75" customHeight="1" x14ac:dyDescent="0.2"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.75" customHeight="1" x14ac:dyDescent="0.2"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.75" customHeight="1" x14ac:dyDescent="0.2"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.75" customHeight="1" x14ac:dyDescent="0.2"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.75" customHeight="1" x14ac:dyDescent="0.2"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.7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customHeight="1" x14ac:dyDescent="0.2">
      <c r="A20" s="16"/>
      <c r="B20" s="17"/>
      <c r="C20" s="17"/>
      <c r="D20" s="3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customHeight="1" x14ac:dyDescent="0.2">
      <c r="A21" s="16"/>
      <c r="B21" s="17"/>
      <c r="C21" s="17"/>
      <c r="D21" s="3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 x14ac:dyDescent="0.2">
      <c r="A22" s="16"/>
      <c r="B22" s="17"/>
      <c r="C22" s="17"/>
      <c r="D22" s="3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 x14ac:dyDescent="0.2">
      <c r="A23" s="7"/>
      <c r="B23" s="7"/>
      <c r="C23" s="7"/>
      <c r="D23" s="3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 x14ac:dyDescent="0.2"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 x14ac:dyDescent="0.2"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7:26" ht="12.75" customHeight="1" x14ac:dyDescent="0.2"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7:26" ht="12.75" customHeight="1" x14ac:dyDescent="0.2">
      <c r="Q994" s="1"/>
      <c r="R994" s="1"/>
      <c r="S994" s="1"/>
      <c r="T994" s="1"/>
      <c r="U994" s="1"/>
      <c r="V994" s="1"/>
      <c r="W994" s="1"/>
      <c r="X994" s="1"/>
      <c r="Y994" s="1"/>
      <c r="Z994" s="1"/>
    </row>
  </sheetData>
  <phoneticPr fontId="9" type="noConversion"/>
  <pageMargins left="0.75" right="0.75" top="1" bottom="1" header="0" footer="0"/>
  <pageSetup paperSize="9"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CE3BD-A838-AF49-90A7-D8DCA91E4ED4}">
  <dimension ref="A1:H60"/>
  <sheetViews>
    <sheetView zoomScale="67" workbookViewId="0">
      <selection activeCell="F21" sqref="F21"/>
    </sheetView>
  </sheetViews>
  <sheetFormatPr baseColWidth="10" defaultColWidth="15.19921875" defaultRowHeight="15.75" customHeight="1" x14ac:dyDescent="0.2"/>
  <cols>
    <col min="2" max="2" width="30.3984375" customWidth="1"/>
    <col min="3" max="3" width="24.19921875" customWidth="1"/>
    <col min="4" max="4" width="43.3984375" customWidth="1"/>
    <col min="5" max="5" width="25" bestFit="1" customWidth="1"/>
    <col min="6" max="6" width="40.3984375" bestFit="1" customWidth="1"/>
    <col min="7" max="7" width="22" bestFit="1" customWidth="1"/>
    <col min="8" max="8" width="65.796875" customWidth="1"/>
    <col min="9" max="9" width="18.19921875" bestFit="1" customWidth="1"/>
    <col min="12" max="12" width="22" bestFit="1" customWidth="1"/>
  </cols>
  <sheetData>
    <row r="1" spans="1:7" ht="14" x14ac:dyDescent="0.2"/>
    <row r="2" spans="1:7" ht="16" x14ac:dyDescent="0.2">
      <c r="A2" s="14"/>
    </row>
    <row r="3" spans="1:7" ht="19" x14ac:dyDescent="0.25">
      <c r="A3" s="22" t="s">
        <v>99</v>
      </c>
    </row>
    <row r="7" spans="1:7" ht="19" thickBot="1" x14ac:dyDescent="0.25">
      <c r="A7" s="11" t="s">
        <v>88</v>
      </c>
      <c r="B7" s="11" t="s">
        <v>89</v>
      </c>
      <c r="C7" s="11" t="s">
        <v>90</v>
      </c>
      <c r="D7" s="23" t="s">
        <v>91</v>
      </c>
      <c r="F7" s="13" t="s">
        <v>92</v>
      </c>
    </row>
    <row r="8" spans="1:7" ht="19" thickTop="1" thickBot="1" x14ac:dyDescent="0.25">
      <c r="A8" s="3" t="s">
        <v>93</v>
      </c>
      <c r="B8" s="3">
        <v>55</v>
      </c>
      <c r="D8" s="18">
        <f>IFERROR(Tabella4[[#This Row],[PESO]]/Tabella4[[#This Row],[COSTO]],0)</f>
        <v>0</v>
      </c>
      <c r="F8" s="11" t="s">
        <v>88</v>
      </c>
      <c r="G8" s="11" t="s">
        <v>94</v>
      </c>
    </row>
    <row r="9" spans="1:7" ht="15" thickTop="1" x14ac:dyDescent="0.2">
      <c r="A9" s="3" t="s">
        <v>95</v>
      </c>
      <c r="B9" s="3">
        <v>70</v>
      </c>
      <c r="C9" s="3">
        <v>80</v>
      </c>
      <c r="D9" s="18">
        <f>IFERROR(Tabella4[[#This Row],[PESO]]/Tabella4[[#This Row],[COSTO]],0)</f>
        <v>0.875</v>
      </c>
      <c r="F9" s="19" t="str" cm="1">
        <f t="array" ref="F9:F13">_xlfn.UNIQUE(Tabella4[FRUTTA])</f>
        <v>Mela</v>
      </c>
      <c r="G9" s="19">
        <f>SUMIFS(Tabella4[PREZZO UNITARIO SENZA ERRORE],Tabella4[FRUTTA],F9,Tabella4[PREZZO UNITARIO SENZA ERRORE],"&lt;&gt;0")/COUNTIFS(Tabella4[FRUTTA],F9,Tabella4[PREZZO UNITARIO SENZA ERRORE],"&lt;&gt;0")</f>
        <v>0.7778846153846154</v>
      </c>
    </row>
    <row r="10" spans="1:7" ht="14" x14ac:dyDescent="0.2">
      <c r="A10" s="3" t="s">
        <v>96</v>
      </c>
      <c r="B10" s="3">
        <v>40</v>
      </c>
      <c r="C10" s="3">
        <v>60</v>
      </c>
      <c r="D10" s="18">
        <f>IFERROR(Tabella4[[#This Row],[PESO]]/Tabella4[[#This Row],[COSTO]],0)</f>
        <v>0.66666666666666663</v>
      </c>
      <c r="F10" s="20" t="str">
        <v>Banana</v>
      </c>
      <c r="G10" s="19">
        <f>SUMIFS(Tabella4[PREZZO UNITARIO SENZA ERRORE],Tabella4[FRUTTA],F10,Tabella4[PREZZO UNITARIO SENZA ERRORE],"&lt;&gt;0")/COUNTIFS(Tabella4[FRUTTA],F10,Tabella4[PREZZO UNITARIO SENZA ERRORE],"&lt;&gt;0")</f>
        <v>0.94830362848938687</v>
      </c>
    </row>
    <row r="11" spans="1:7" ht="14" x14ac:dyDescent="0.2">
      <c r="A11" s="3" t="s">
        <v>93</v>
      </c>
      <c r="B11" s="3">
        <v>20</v>
      </c>
      <c r="C11" s="3">
        <v>100</v>
      </c>
      <c r="D11" s="18">
        <f>IFERROR(Tabella4[[#This Row],[PESO]]/Tabella4[[#This Row],[COSTO]],0)</f>
        <v>0.2</v>
      </c>
      <c r="F11" s="19" t="str">
        <v>Arancia</v>
      </c>
      <c r="G11" s="19">
        <f>SUMIFS(Tabella4[PREZZO UNITARIO SENZA ERRORE],Tabella4[FRUTTA],F11,Tabella4[PREZZO UNITARIO SENZA ERRORE],"&lt;&gt;0")/COUNTIFS(Tabella4[FRUTTA],F11,Tabella4[PREZZO UNITARIO SENZA ERRORE],"&lt;&gt;0")</f>
        <v>1.0905474966878479</v>
      </c>
    </row>
    <row r="12" spans="1:7" ht="14" x14ac:dyDescent="0.2">
      <c r="A12" s="3" t="s">
        <v>97</v>
      </c>
      <c r="B12" s="3">
        <v>90</v>
      </c>
      <c r="C12" s="3">
        <v>30</v>
      </c>
      <c r="D12" s="18">
        <f>IFERROR(Tabella4[[#This Row],[PESO]]/Tabella4[[#This Row],[COSTO]],0)</f>
        <v>3</v>
      </c>
      <c r="F12" s="20" t="str">
        <v>Pera</v>
      </c>
      <c r="G12" s="19">
        <f>SUMIFS(Tabella4[PREZZO UNITARIO SENZA ERRORE],Tabella4[FRUTTA],F12,Tabella4[PREZZO UNITARIO SENZA ERRORE],"&lt;&gt;0")/COUNTIFS(Tabella4[FRUTTA],F12,Tabella4[PREZZO UNITARIO SENZA ERRORE],"&lt;&gt;0")</f>
        <v>1.5003174603174603</v>
      </c>
    </row>
    <row r="13" spans="1:7" ht="14" x14ac:dyDescent="0.2">
      <c r="A13" s="3" t="s">
        <v>95</v>
      </c>
      <c r="B13" s="3">
        <v>50</v>
      </c>
      <c r="C13" s="3">
        <v>40</v>
      </c>
      <c r="D13" s="18">
        <f>IFERROR(Tabella4[[#This Row],[PESO]]/Tabella4[[#This Row],[COSTO]],0)</f>
        <v>1.25</v>
      </c>
      <c r="F13" s="19" t="str">
        <v>Uva</v>
      </c>
      <c r="G13" s="19">
        <f>SUMIFS(Tabella4[PREZZO UNITARIO SENZA ERRORE],Tabella4[FRUTTA],F13,Tabella4[PREZZO UNITARIO SENZA ERRORE],"&lt;&gt;0")/COUNTIFS(Tabella4[FRUTTA],F13,Tabella4[PREZZO UNITARIO SENZA ERRORE],"&lt;&gt;0")</f>
        <v>0.90669856459330145</v>
      </c>
    </row>
    <row r="14" spans="1:7" ht="14" x14ac:dyDescent="0.2">
      <c r="A14" s="3" t="s">
        <v>96</v>
      </c>
      <c r="B14" s="3">
        <v>60</v>
      </c>
      <c r="C14" s="3">
        <v>55</v>
      </c>
      <c r="D14" s="18">
        <f>IFERROR(Tabella4[[#This Row],[PESO]]/Tabella4[[#This Row],[COSTO]],0)</f>
        <v>1.0909090909090908</v>
      </c>
    </row>
    <row r="15" spans="1:7" ht="14" x14ac:dyDescent="0.2">
      <c r="A15" s="3" t="s">
        <v>93</v>
      </c>
      <c r="B15" s="3">
        <v>45</v>
      </c>
      <c r="D15" s="18">
        <f>IFERROR(Tabella4[[#This Row],[PESO]]/Tabella4[[#This Row],[COSTO]],0)</f>
        <v>0</v>
      </c>
    </row>
    <row r="16" spans="1:7" ht="16" x14ac:dyDescent="0.2">
      <c r="A16" s="3" t="s">
        <v>95</v>
      </c>
      <c r="B16" s="3">
        <v>25</v>
      </c>
      <c r="C16" s="3">
        <v>85</v>
      </c>
      <c r="D16" s="18">
        <f>IFERROR(Tabella4[[#This Row],[PESO]]/Tabella4[[#This Row],[COSTO]],0)</f>
        <v>0.29411764705882354</v>
      </c>
      <c r="E16" s="15" t="b">
        <v>1</v>
      </c>
      <c r="F16" s="13" t="s">
        <v>87</v>
      </c>
    </row>
    <row r="17" spans="1:8" ht="19" x14ac:dyDescent="0.25">
      <c r="A17" s="3" t="s">
        <v>97</v>
      </c>
      <c r="B17" s="3">
        <v>35</v>
      </c>
      <c r="C17" s="3">
        <v>50</v>
      </c>
      <c r="D17" s="18">
        <f>IFERROR(Tabella4[[#This Row],[PESO]]/Tabella4[[#This Row],[COSTO]],0)</f>
        <v>0.7</v>
      </c>
      <c r="F17" s="25" t="s">
        <v>108</v>
      </c>
    </row>
    <row r="18" spans="1:8" ht="19" x14ac:dyDescent="0.25">
      <c r="A18" s="3" t="s">
        <v>98</v>
      </c>
      <c r="B18" s="3">
        <v>60</v>
      </c>
      <c r="C18" s="3">
        <v>95</v>
      </c>
      <c r="D18" s="18">
        <f>IFERROR(Tabella4[[#This Row],[PESO]]/Tabella4[[#This Row],[COSTO]],0)</f>
        <v>0.63157894736842102</v>
      </c>
      <c r="F18" s="25" t="s">
        <v>109</v>
      </c>
    </row>
    <row r="19" spans="1:8" ht="14" x14ac:dyDescent="0.2">
      <c r="A19" s="3" t="s">
        <v>96</v>
      </c>
      <c r="B19" s="3">
        <v>80</v>
      </c>
      <c r="D19" s="18">
        <f>IFERROR(Tabella4[[#This Row],[PESO]]/Tabella4[[#This Row],[COSTO]],0)</f>
        <v>0</v>
      </c>
    </row>
    <row r="20" spans="1:8" ht="14" x14ac:dyDescent="0.2">
      <c r="A20" s="3" t="s">
        <v>95</v>
      </c>
      <c r="B20" s="3">
        <v>40</v>
      </c>
      <c r="C20" s="3">
        <v>45</v>
      </c>
      <c r="D20" s="18">
        <f>IFERROR(Tabella4[[#This Row],[PESO]]/Tabella4[[#This Row],[COSTO]],0)</f>
        <v>0.88888888888888884</v>
      </c>
    </row>
    <row r="21" spans="1:8" ht="14" x14ac:dyDescent="0.2">
      <c r="A21" s="3" t="s">
        <v>93</v>
      </c>
      <c r="B21" s="3">
        <v>65</v>
      </c>
      <c r="C21" s="3">
        <v>65</v>
      </c>
      <c r="D21" s="18">
        <f>IFERROR(Tabella4[[#This Row],[PESO]]/Tabella4[[#This Row],[COSTO]],0)</f>
        <v>1</v>
      </c>
      <c r="F21" s="34"/>
    </row>
    <row r="22" spans="1:8" ht="14" x14ac:dyDescent="0.2">
      <c r="A22" s="3" t="s">
        <v>96</v>
      </c>
      <c r="B22" s="3">
        <v>55</v>
      </c>
      <c r="C22" s="3">
        <v>30</v>
      </c>
      <c r="D22" s="18">
        <f>IFERROR(Tabella4[[#This Row],[PESO]]/Tabella4[[#This Row],[COSTO]],0)</f>
        <v>1.8333333333333333</v>
      </c>
      <c r="F22" s="34"/>
    </row>
    <row r="23" spans="1:8" ht="14" x14ac:dyDescent="0.2">
      <c r="A23" s="3" t="s">
        <v>97</v>
      </c>
      <c r="B23" s="3">
        <v>70</v>
      </c>
      <c r="D23" s="18">
        <f>IFERROR(Tabella4[[#This Row],[PESO]]/Tabella4[[#This Row],[COSTO]],0)</f>
        <v>0</v>
      </c>
      <c r="F23" s="34"/>
    </row>
    <row r="24" spans="1:8" ht="14" x14ac:dyDescent="0.2">
      <c r="A24" s="3" t="s">
        <v>95</v>
      </c>
      <c r="B24" s="3">
        <v>45</v>
      </c>
      <c r="C24" s="3">
        <v>80</v>
      </c>
      <c r="D24" s="18">
        <f>IFERROR(Tabella4[[#This Row],[PESO]]/Tabella4[[#This Row],[COSTO]],0)</f>
        <v>0.5625</v>
      </c>
      <c r="F24" s="34"/>
    </row>
    <row r="25" spans="1:8" ht="14" x14ac:dyDescent="0.2">
      <c r="A25" s="3" t="s">
        <v>93</v>
      </c>
      <c r="B25" s="3">
        <v>25</v>
      </c>
      <c r="C25" s="3">
        <v>60</v>
      </c>
      <c r="D25" s="18">
        <f>IFERROR(Tabella4[[#This Row],[PESO]]/Tabella4[[#This Row],[COSTO]],0)</f>
        <v>0.41666666666666669</v>
      </c>
      <c r="F25" s="34"/>
      <c r="G25" s="34"/>
      <c r="H25" s="34"/>
    </row>
    <row r="26" spans="1:8" ht="14" x14ac:dyDescent="0.2">
      <c r="A26" s="3" t="s">
        <v>95</v>
      </c>
      <c r="B26" s="3">
        <v>35</v>
      </c>
      <c r="D26" s="18">
        <f>IFERROR(Tabella4[[#This Row],[PESO]]/Tabella4[[#This Row],[COSTO]],0)</f>
        <v>0</v>
      </c>
    </row>
    <row r="27" spans="1:8" ht="14" x14ac:dyDescent="0.2">
      <c r="A27" s="3" t="s">
        <v>96</v>
      </c>
      <c r="B27" s="3">
        <v>60</v>
      </c>
      <c r="C27" s="3">
        <v>30</v>
      </c>
      <c r="D27" s="18">
        <f>IFERROR(Tabella4[[#This Row],[PESO]]/Tabella4[[#This Row],[COSTO]],0)</f>
        <v>2</v>
      </c>
    </row>
    <row r="28" spans="1:8" ht="14" x14ac:dyDescent="0.2">
      <c r="A28" s="3" t="s">
        <v>93</v>
      </c>
      <c r="B28" s="3">
        <v>70</v>
      </c>
      <c r="C28" s="3">
        <v>40</v>
      </c>
      <c r="D28" s="18">
        <f>IFERROR(Tabella4[[#This Row],[PESO]]/Tabella4[[#This Row],[COSTO]],0)</f>
        <v>1.75</v>
      </c>
    </row>
    <row r="29" spans="1:8" ht="14" x14ac:dyDescent="0.2">
      <c r="A29" s="3" t="s">
        <v>95</v>
      </c>
      <c r="B29" s="3">
        <v>45</v>
      </c>
      <c r="C29" s="3">
        <v>55</v>
      </c>
      <c r="D29" s="18">
        <f>IFERROR(Tabella4[[#This Row],[PESO]]/Tabella4[[#This Row],[COSTO]],0)</f>
        <v>0.81818181818181823</v>
      </c>
    </row>
    <row r="30" spans="1:8" ht="14" x14ac:dyDescent="0.2">
      <c r="A30" s="3" t="s">
        <v>97</v>
      </c>
      <c r="B30" s="3">
        <v>25</v>
      </c>
      <c r="C30" s="3">
        <v>70</v>
      </c>
      <c r="D30" s="18">
        <f>IFERROR(Tabella4[[#This Row],[PESO]]/Tabella4[[#This Row],[COSTO]],0)</f>
        <v>0.35714285714285715</v>
      </c>
    </row>
    <row r="31" spans="1:8" ht="14" x14ac:dyDescent="0.2">
      <c r="A31" s="3" t="s">
        <v>98</v>
      </c>
      <c r="B31" s="3">
        <v>35</v>
      </c>
      <c r="D31" s="18">
        <f>IFERROR(Tabella4[[#This Row],[PESO]]/Tabella4[[#This Row],[COSTO]],0)</f>
        <v>0</v>
      </c>
    </row>
    <row r="32" spans="1:8" ht="14" x14ac:dyDescent="0.2">
      <c r="A32" s="3" t="s">
        <v>96</v>
      </c>
      <c r="B32" s="3">
        <v>60</v>
      </c>
      <c r="C32" s="3">
        <v>50</v>
      </c>
      <c r="D32" s="18">
        <f>IFERROR(Tabella4[[#This Row],[PESO]]/Tabella4[[#This Row],[COSTO]],0)</f>
        <v>1.2</v>
      </c>
    </row>
    <row r="33" spans="1:4" ht="14" x14ac:dyDescent="0.2">
      <c r="A33" s="3" t="s">
        <v>95</v>
      </c>
      <c r="B33" s="3">
        <v>80</v>
      </c>
      <c r="C33" s="3">
        <v>95</v>
      </c>
      <c r="D33" s="18">
        <f>IFERROR(Tabella4[[#This Row],[PESO]]/Tabella4[[#This Row],[COSTO]],0)</f>
        <v>0.84210526315789469</v>
      </c>
    </row>
    <row r="34" spans="1:4" ht="14" x14ac:dyDescent="0.2">
      <c r="A34" s="3" t="s">
        <v>93</v>
      </c>
      <c r="B34" s="3">
        <v>40</v>
      </c>
      <c r="C34" s="3">
        <v>75</v>
      </c>
      <c r="D34" s="18">
        <f>IFERROR(Tabella4[[#This Row],[PESO]]/Tabella4[[#This Row],[COSTO]],0)</f>
        <v>0.53333333333333333</v>
      </c>
    </row>
    <row r="35" spans="1:4" ht="14" x14ac:dyDescent="0.2">
      <c r="A35" s="3" t="s">
        <v>96</v>
      </c>
      <c r="B35" s="3">
        <v>65</v>
      </c>
      <c r="C35" s="3">
        <v>45</v>
      </c>
      <c r="D35" s="18">
        <f>IFERROR(Tabella4[[#This Row],[PESO]]/Tabella4[[#This Row],[COSTO]],0)</f>
        <v>1.4444444444444444</v>
      </c>
    </row>
    <row r="36" spans="1:4" ht="14" x14ac:dyDescent="0.2">
      <c r="A36" s="3" t="s">
        <v>95</v>
      </c>
      <c r="B36" s="3">
        <v>55</v>
      </c>
      <c r="C36" s="3">
        <v>65</v>
      </c>
      <c r="D36" s="18">
        <f>IFERROR(Tabella4[[#This Row],[PESO]]/Tabella4[[#This Row],[COSTO]],0)</f>
        <v>0.84615384615384615</v>
      </c>
    </row>
    <row r="37" spans="1:4" ht="14" x14ac:dyDescent="0.2">
      <c r="A37" s="3" t="s">
        <v>97</v>
      </c>
      <c r="B37" s="3">
        <v>70</v>
      </c>
      <c r="C37" s="3">
        <v>30</v>
      </c>
      <c r="D37" s="18">
        <f>IFERROR(Tabella4[[#This Row],[PESO]]/Tabella4[[#This Row],[COSTO]],0)</f>
        <v>2.3333333333333335</v>
      </c>
    </row>
    <row r="38" spans="1:4" ht="14" x14ac:dyDescent="0.2">
      <c r="A38" s="3" t="s">
        <v>93</v>
      </c>
      <c r="B38" s="3">
        <v>45</v>
      </c>
      <c r="D38" s="18">
        <f>IFERROR(Tabella4[[#This Row],[PESO]]/Tabella4[[#This Row],[COSTO]],0)</f>
        <v>0</v>
      </c>
    </row>
    <row r="39" spans="1:4" ht="14" x14ac:dyDescent="0.2">
      <c r="A39" s="3" t="s">
        <v>95</v>
      </c>
      <c r="B39" s="3">
        <v>25</v>
      </c>
      <c r="C39" s="3">
        <v>80</v>
      </c>
      <c r="D39" s="18">
        <f>IFERROR(Tabella4[[#This Row],[PESO]]/Tabella4[[#This Row],[COSTO]],0)</f>
        <v>0.3125</v>
      </c>
    </row>
    <row r="40" spans="1:4" ht="14" x14ac:dyDescent="0.2">
      <c r="A40" s="3" t="s">
        <v>96</v>
      </c>
      <c r="B40" s="3">
        <v>35</v>
      </c>
      <c r="C40" s="3">
        <v>60</v>
      </c>
      <c r="D40" s="18">
        <f>IFERROR(Tabella4[[#This Row],[PESO]]/Tabella4[[#This Row],[COSTO]],0)</f>
        <v>0.58333333333333337</v>
      </c>
    </row>
    <row r="41" spans="1:4" ht="14" x14ac:dyDescent="0.2">
      <c r="A41" s="3" t="s">
        <v>93</v>
      </c>
      <c r="B41" s="3">
        <v>60</v>
      </c>
      <c r="C41" s="3">
        <v>100</v>
      </c>
      <c r="D41" s="18">
        <f>IFERROR(Tabella4[[#This Row],[PESO]]/Tabella4[[#This Row],[COSTO]],0)</f>
        <v>0.6</v>
      </c>
    </row>
    <row r="42" spans="1:4" ht="14" x14ac:dyDescent="0.2">
      <c r="A42" s="3" t="s">
        <v>95</v>
      </c>
      <c r="B42" s="3">
        <v>80</v>
      </c>
      <c r="C42" s="3">
        <v>30</v>
      </c>
      <c r="D42" s="18">
        <f>IFERROR(Tabella4[[#This Row],[PESO]]/Tabella4[[#This Row],[COSTO]],0)</f>
        <v>2.6666666666666665</v>
      </c>
    </row>
    <row r="43" spans="1:4" ht="14" x14ac:dyDescent="0.2">
      <c r="A43" s="3" t="s">
        <v>97</v>
      </c>
      <c r="B43" s="3">
        <v>40</v>
      </c>
      <c r="D43" s="18">
        <f>IFERROR(Tabella4[[#This Row],[PESO]]/Tabella4[[#This Row],[COSTO]],0)</f>
        <v>0</v>
      </c>
    </row>
    <row r="44" spans="1:4" ht="14" x14ac:dyDescent="0.2">
      <c r="A44" s="3" t="s">
        <v>98</v>
      </c>
      <c r="B44" s="3">
        <v>65</v>
      </c>
      <c r="C44" s="3">
        <v>55</v>
      </c>
      <c r="D44" s="18">
        <f>IFERROR(Tabella4[[#This Row],[PESO]]/Tabella4[[#This Row],[COSTO]],0)</f>
        <v>1.1818181818181819</v>
      </c>
    </row>
    <row r="45" spans="1:4" ht="14" x14ac:dyDescent="0.2">
      <c r="A45" s="3" t="s">
        <v>96</v>
      </c>
      <c r="B45" s="3">
        <v>55</v>
      </c>
      <c r="C45" s="3">
        <v>70</v>
      </c>
      <c r="D45" s="18">
        <f>IFERROR(Tabella4[[#This Row],[PESO]]/Tabella4[[#This Row],[COSTO]],0)</f>
        <v>0.7857142857142857</v>
      </c>
    </row>
    <row r="46" spans="1:4" ht="14" x14ac:dyDescent="0.2">
      <c r="A46" s="3" t="s">
        <v>95</v>
      </c>
      <c r="B46" s="3">
        <v>70</v>
      </c>
      <c r="C46" s="3">
        <v>85</v>
      </c>
      <c r="D46" s="18">
        <f>IFERROR(Tabella4[[#This Row],[PESO]]/Tabella4[[#This Row],[COSTO]],0)</f>
        <v>0.82352941176470584</v>
      </c>
    </row>
    <row r="47" spans="1:4" ht="14" x14ac:dyDescent="0.2">
      <c r="A47" s="3" t="s">
        <v>93</v>
      </c>
      <c r="B47" s="3">
        <v>40</v>
      </c>
      <c r="C47" s="3">
        <v>50</v>
      </c>
      <c r="D47" s="18">
        <f>IFERROR(Tabella4[[#This Row],[PESO]]/Tabella4[[#This Row],[COSTO]],0)</f>
        <v>0.8</v>
      </c>
    </row>
    <row r="48" spans="1:4" ht="14" x14ac:dyDescent="0.2">
      <c r="A48" s="3" t="s">
        <v>96</v>
      </c>
      <c r="B48" s="3">
        <v>20</v>
      </c>
      <c r="C48" s="3">
        <v>95</v>
      </c>
      <c r="D48" s="18">
        <f>IFERROR(Tabella4[[#This Row],[PESO]]/Tabella4[[#This Row],[COSTO]],0)</f>
        <v>0.21052631578947367</v>
      </c>
    </row>
    <row r="49" spans="1:4" ht="14" x14ac:dyDescent="0.2">
      <c r="A49" s="3" t="s">
        <v>95</v>
      </c>
      <c r="B49" s="3">
        <v>90</v>
      </c>
      <c r="C49" s="3">
        <v>75</v>
      </c>
      <c r="D49" s="18">
        <f>IFERROR(Tabella4[[#This Row],[PESO]]/Tabella4[[#This Row],[COSTO]],0)</f>
        <v>1.2</v>
      </c>
    </row>
    <row r="50" spans="1:4" ht="14" x14ac:dyDescent="0.2">
      <c r="A50" s="3" t="s">
        <v>97</v>
      </c>
      <c r="B50" s="3">
        <v>50</v>
      </c>
      <c r="C50" s="3">
        <v>45</v>
      </c>
      <c r="D50" s="18">
        <f>IFERROR(Tabella4[[#This Row],[PESO]]/Tabella4[[#This Row],[COSTO]],0)</f>
        <v>1.1111111111111112</v>
      </c>
    </row>
    <row r="51" spans="1:4" ht="14" x14ac:dyDescent="0.2">
      <c r="A51" s="3" t="s">
        <v>93</v>
      </c>
      <c r="B51" s="3">
        <v>60</v>
      </c>
      <c r="C51" s="3">
        <v>65</v>
      </c>
      <c r="D51" s="18">
        <f>IFERROR(Tabella4[[#This Row],[PESO]]/Tabella4[[#This Row],[COSTO]],0)</f>
        <v>0.92307692307692313</v>
      </c>
    </row>
    <row r="52" spans="1:4" ht="14" x14ac:dyDescent="0.2">
      <c r="A52" s="3" t="s">
        <v>95</v>
      </c>
      <c r="B52" s="3">
        <v>45</v>
      </c>
      <c r="D52" s="18">
        <f>IFERROR(Tabella4[[#This Row],[PESO]]/Tabella4[[#This Row],[COSTO]],0)</f>
        <v>0</v>
      </c>
    </row>
    <row r="53" spans="1:4" ht="14" x14ac:dyDescent="0.2">
      <c r="A53" s="3" t="s">
        <v>96</v>
      </c>
      <c r="B53" s="3">
        <v>25</v>
      </c>
      <c r="D53" s="18">
        <f>IFERROR(Tabella4[[#This Row],[PESO]]/Tabella4[[#This Row],[COSTO]],0)</f>
        <v>0</v>
      </c>
    </row>
    <row r="59" spans="1:4" ht="14" x14ac:dyDescent="0.2">
      <c r="C59" s="7"/>
    </row>
    <row r="60" spans="1:4" ht="14" x14ac:dyDescent="0.2">
      <c r="D60" s="21"/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998"/>
  <sheetViews>
    <sheetView tabSelected="1" zoomScaleNormal="81" workbookViewId="0">
      <selection activeCell="M4" sqref="M4"/>
    </sheetView>
  </sheetViews>
  <sheetFormatPr baseColWidth="10" defaultColWidth="14.3984375" defaultRowHeight="14" x14ac:dyDescent="0.2"/>
  <cols>
    <col min="1" max="1" width="11" bestFit="1" customWidth="1"/>
    <col min="2" max="2" width="28.19921875" customWidth="1"/>
    <col min="3" max="3" width="21.19921875" customWidth="1"/>
    <col min="4" max="4" width="22.19921875" customWidth="1"/>
    <col min="5" max="5" width="26.19921875" customWidth="1"/>
    <col min="6" max="6" width="22.19921875" bestFit="1" customWidth="1"/>
    <col min="7" max="7" width="11" bestFit="1" customWidth="1"/>
    <col min="8" max="8" width="28.19921875" bestFit="1" customWidth="1"/>
    <col min="9" max="9" width="22" bestFit="1" customWidth="1"/>
    <col min="10" max="10" width="22.59765625" bestFit="1" customWidth="1"/>
    <col min="11" max="11" width="26.796875" bestFit="1" customWidth="1"/>
    <col min="12" max="12" width="8.796875" customWidth="1"/>
    <col min="13" max="13" width="22.19921875" customWidth="1"/>
    <col min="14" max="14" width="22" customWidth="1"/>
    <col min="15" max="15" width="19.3984375" customWidth="1"/>
    <col min="16" max="18" width="8.796875" customWidth="1"/>
    <col min="19" max="19" width="21.796875" customWidth="1"/>
    <col min="20" max="24" width="8.796875" customWidth="1"/>
  </cols>
  <sheetData>
    <row r="1" spans="1:21" ht="19" x14ac:dyDescent="0.2">
      <c r="A1" s="14" t="s">
        <v>100</v>
      </c>
      <c r="B1" s="24"/>
      <c r="C1" s="24"/>
      <c r="D1" s="24"/>
      <c r="E1" s="24"/>
      <c r="F1" s="24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</row>
    <row r="2" spans="1:21" ht="16" x14ac:dyDescent="0.2">
      <c r="A2" s="14" t="s">
        <v>101</v>
      </c>
    </row>
    <row r="3" spans="1:21" ht="16" x14ac:dyDescent="0.2">
      <c r="A3" s="14" t="s">
        <v>102</v>
      </c>
    </row>
    <row r="4" spans="1:21" ht="16" x14ac:dyDescent="0.2">
      <c r="A4" s="14"/>
    </row>
    <row r="5" spans="1:21" ht="18" thickBot="1" x14ac:dyDescent="0.25">
      <c r="A5" s="51" t="s">
        <v>9</v>
      </c>
      <c r="B5" s="51" t="s">
        <v>10</v>
      </c>
      <c r="C5" s="51" t="s">
        <v>11</v>
      </c>
      <c r="D5" s="52" t="s">
        <v>12</v>
      </c>
      <c r="E5" s="52" t="s">
        <v>13</v>
      </c>
      <c r="G5" s="10" t="s">
        <v>9</v>
      </c>
      <c r="H5" s="10" t="s">
        <v>10</v>
      </c>
      <c r="I5" s="10" t="s">
        <v>11</v>
      </c>
      <c r="J5" s="11" t="s">
        <v>12</v>
      </c>
      <c r="K5" s="11" t="s">
        <v>13</v>
      </c>
      <c r="N5" s="13" t="s">
        <v>103</v>
      </c>
    </row>
    <row r="6" spans="1:21" ht="15" thickTop="1" x14ac:dyDescent="0.2">
      <c r="A6" s="4">
        <v>36529</v>
      </c>
      <c r="B6" s="5" t="s">
        <v>14</v>
      </c>
      <c r="C6" s="5" t="s">
        <v>15</v>
      </c>
      <c r="D6" s="6">
        <v>50000</v>
      </c>
      <c r="E6" s="6">
        <v>16</v>
      </c>
      <c r="G6" s="4">
        <v>36529</v>
      </c>
      <c r="H6" s="5" t="s">
        <v>14</v>
      </c>
      <c r="I6" s="5" t="s">
        <v>15</v>
      </c>
      <c r="J6" s="6">
        <v>50000</v>
      </c>
      <c r="K6" s="6">
        <v>16</v>
      </c>
    </row>
    <row r="7" spans="1:21" ht="19" x14ac:dyDescent="0.25">
      <c r="A7" s="4">
        <v>36534</v>
      </c>
      <c r="B7" s="5" t="s">
        <v>16</v>
      </c>
      <c r="C7" s="5" t="s">
        <v>15</v>
      </c>
      <c r="D7" s="6">
        <v>29970</v>
      </c>
      <c r="E7" s="6">
        <v>29</v>
      </c>
      <c r="G7" s="4">
        <v>36534</v>
      </c>
      <c r="H7" s="5" t="s">
        <v>16</v>
      </c>
      <c r="I7" s="5" t="s">
        <v>15</v>
      </c>
      <c r="J7" s="6">
        <v>29970</v>
      </c>
      <c r="K7" s="6">
        <v>29</v>
      </c>
      <c r="M7" s="15" t="b">
        <v>1</v>
      </c>
      <c r="N7" s="27" t="s">
        <v>107</v>
      </c>
      <c r="O7" s="26"/>
      <c r="P7" s="26"/>
      <c r="Q7" s="26"/>
      <c r="R7" s="26"/>
      <c r="S7" s="28">
        <f>COUNTIF(TabellaFatture[Categoria],"Abbigliamento")</f>
        <v>11</v>
      </c>
    </row>
    <row r="8" spans="1:21" ht="19" x14ac:dyDescent="0.25">
      <c r="A8" s="4">
        <v>36537</v>
      </c>
      <c r="B8" s="5" t="s">
        <v>17</v>
      </c>
      <c r="C8" s="5" t="s">
        <v>18</v>
      </c>
      <c r="D8" s="6">
        <v>27560</v>
      </c>
      <c r="E8" s="6">
        <v>21</v>
      </c>
      <c r="G8" s="4">
        <v>36537</v>
      </c>
      <c r="H8" s="5" t="s">
        <v>17</v>
      </c>
      <c r="I8" s="5" t="s">
        <v>18</v>
      </c>
      <c r="J8" s="6">
        <v>27560</v>
      </c>
      <c r="K8" s="6">
        <v>21</v>
      </c>
      <c r="N8" s="27" t="s">
        <v>106</v>
      </c>
      <c r="O8" s="26"/>
      <c r="P8" s="26"/>
      <c r="Q8" s="26"/>
      <c r="R8" s="26"/>
      <c r="S8" s="29">
        <f>SUMIF(TabellaFatture[Categoria],"Abbigliamento",TabellaFatture[Importo fattura])</f>
        <v>611780</v>
      </c>
    </row>
    <row r="9" spans="1:21" x14ac:dyDescent="0.2">
      <c r="A9" s="4">
        <v>36543</v>
      </c>
      <c r="B9" s="5" t="s">
        <v>19</v>
      </c>
      <c r="C9" s="5" t="s">
        <v>20</v>
      </c>
      <c r="D9" s="6">
        <v>43500</v>
      </c>
      <c r="E9" s="6">
        <v>29</v>
      </c>
      <c r="G9" s="4">
        <v>36543</v>
      </c>
      <c r="H9" s="5" t="s">
        <v>19</v>
      </c>
      <c r="I9" s="5" t="s">
        <v>20</v>
      </c>
      <c r="J9" s="6">
        <v>43500</v>
      </c>
      <c r="K9" s="6">
        <v>29</v>
      </c>
    </row>
    <row r="10" spans="1:21" x14ac:dyDescent="0.2">
      <c r="A10" s="4">
        <v>36545</v>
      </c>
      <c r="B10" s="5" t="s">
        <v>21</v>
      </c>
      <c r="C10" s="5" t="s">
        <v>22</v>
      </c>
      <c r="D10" s="6">
        <v>13500</v>
      </c>
      <c r="E10" s="6">
        <v>15</v>
      </c>
      <c r="G10" s="4">
        <v>36545</v>
      </c>
      <c r="H10" s="5" t="s">
        <v>21</v>
      </c>
      <c r="I10" s="5" t="s">
        <v>22</v>
      </c>
      <c r="J10" s="6">
        <v>13500</v>
      </c>
      <c r="K10" s="6">
        <v>15</v>
      </c>
    </row>
    <row r="11" spans="1:21" ht="19" x14ac:dyDescent="0.25">
      <c r="A11" s="4">
        <v>36547</v>
      </c>
      <c r="B11" s="5" t="s">
        <v>23</v>
      </c>
      <c r="C11" s="5" t="s">
        <v>24</v>
      </c>
      <c r="D11" s="6">
        <v>50800</v>
      </c>
      <c r="E11" s="6">
        <v>22</v>
      </c>
      <c r="G11" s="4">
        <v>36547</v>
      </c>
      <c r="H11" s="5" t="s">
        <v>23</v>
      </c>
      <c r="I11" s="5" t="s">
        <v>24</v>
      </c>
      <c r="J11" s="6">
        <v>50800</v>
      </c>
      <c r="K11" s="6">
        <v>22</v>
      </c>
      <c r="M11" s="15" t="b">
        <v>1</v>
      </c>
      <c r="N11" s="33" t="s">
        <v>105</v>
      </c>
      <c r="O11" s="30"/>
      <c r="P11" s="30"/>
      <c r="Q11" s="30"/>
      <c r="R11" s="30"/>
      <c r="S11" s="32" t="s">
        <v>104</v>
      </c>
    </row>
    <row r="12" spans="1:21" ht="15" x14ac:dyDescent="0.2">
      <c r="A12" s="4">
        <v>36548</v>
      </c>
      <c r="B12" s="5" t="s">
        <v>25</v>
      </c>
      <c r="C12" s="5" t="s">
        <v>26</v>
      </c>
      <c r="D12" s="6">
        <v>98450</v>
      </c>
      <c r="E12" s="6">
        <v>21</v>
      </c>
      <c r="G12" s="4">
        <v>36548</v>
      </c>
      <c r="H12" s="5" t="s">
        <v>25</v>
      </c>
      <c r="I12" s="5" t="s">
        <v>26</v>
      </c>
      <c r="J12" s="6">
        <v>98450</v>
      </c>
      <c r="K12" s="6">
        <v>21</v>
      </c>
      <c r="N12" s="35"/>
      <c r="O12" s="35"/>
      <c r="P12" s="35"/>
      <c r="Q12" s="35"/>
      <c r="R12" s="35"/>
      <c r="S12" s="49" cm="1">
        <f t="array" ref="S12:S44">_xlfn._xlws.SORT(_xlfn._xlws.FILTER(TabellaFatture[Importo fattura],TabellaFatture[Importo fattura]&gt;40000),1,-1)</f>
        <v>2425000</v>
      </c>
    </row>
    <row r="13" spans="1:21" ht="15" x14ac:dyDescent="0.2">
      <c r="A13" s="4">
        <v>36551</v>
      </c>
      <c r="B13" s="5" t="s">
        <v>17</v>
      </c>
      <c r="C13" s="5" t="s">
        <v>18</v>
      </c>
      <c r="D13" s="6">
        <v>45890</v>
      </c>
      <c r="E13" s="6">
        <v>18</v>
      </c>
      <c r="G13" s="4">
        <v>36551</v>
      </c>
      <c r="H13" s="5" t="s">
        <v>17</v>
      </c>
      <c r="I13" s="5" t="s">
        <v>18</v>
      </c>
      <c r="J13" s="6">
        <v>45890</v>
      </c>
      <c r="K13" s="6">
        <v>18</v>
      </c>
      <c r="S13" s="49">
        <v>2425000</v>
      </c>
    </row>
    <row r="14" spans="1:21" ht="15" x14ac:dyDescent="0.2">
      <c r="A14" s="4">
        <v>36552</v>
      </c>
      <c r="B14" s="5" t="s">
        <v>27</v>
      </c>
      <c r="C14" s="5" t="s">
        <v>28</v>
      </c>
      <c r="D14" s="6">
        <v>7950</v>
      </c>
      <c r="E14" s="6">
        <v>23</v>
      </c>
      <c r="G14" s="4">
        <v>36552</v>
      </c>
      <c r="H14" s="5" t="s">
        <v>27</v>
      </c>
      <c r="I14" s="5" t="s">
        <v>28</v>
      </c>
      <c r="J14" s="6">
        <v>7950</v>
      </c>
      <c r="K14" s="6">
        <v>23</v>
      </c>
      <c r="N14" s="35"/>
      <c r="O14" s="35"/>
      <c r="P14" s="35"/>
      <c r="Q14" s="35"/>
      <c r="R14" s="35"/>
      <c r="S14" s="49">
        <v>1860000</v>
      </c>
    </row>
    <row r="15" spans="1:21" ht="15" x14ac:dyDescent="0.2">
      <c r="A15" s="4">
        <v>36553</v>
      </c>
      <c r="B15" s="5" t="s">
        <v>29</v>
      </c>
      <c r="C15" s="5" t="s">
        <v>26</v>
      </c>
      <c r="D15" s="6">
        <v>87450</v>
      </c>
      <c r="E15" s="6">
        <v>24</v>
      </c>
      <c r="G15" s="4">
        <v>36553</v>
      </c>
      <c r="H15" s="5" t="s">
        <v>29</v>
      </c>
      <c r="I15" s="5" t="s">
        <v>26</v>
      </c>
      <c r="J15" s="6">
        <v>87450</v>
      </c>
      <c r="K15" s="6">
        <v>24</v>
      </c>
      <c r="S15" s="49">
        <v>1368000</v>
      </c>
    </row>
    <row r="16" spans="1:21" ht="15" x14ac:dyDescent="0.2">
      <c r="A16" s="4">
        <v>36554</v>
      </c>
      <c r="B16" s="5" t="s">
        <v>30</v>
      </c>
      <c r="C16" s="5" t="s">
        <v>31</v>
      </c>
      <c r="D16" s="6">
        <v>295000</v>
      </c>
      <c r="E16" s="6">
        <v>27</v>
      </c>
      <c r="G16" s="4">
        <v>36554</v>
      </c>
      <c r="H16" s="5" t="s">
        <v>30</v>
      </c>
      <c r="I16" s="5" t="s">
        <v>31</v>
      </c>
      <c r="J16" s="6">
        <v>295000</v>
      </c>
      <c r="K16" s="6">
        <v>27</v>
      </c>
      <c r="N16" s="35"/>
      <c r="O16" s="35"/>
      <c r="P16" s="35"/>
      <c r="Q16" s="35"/>
      <c r="R16" s="35"/>
      <c r="S16" s="49">
        <v>348980</v>
      </c>
    </row>
    <row r="17" spans="1:19" ht="15" x14ac:dyDescent="0.2">
      <c r="A17" s="4">
        <v>36555</v>
      </c>
      <c r="B17" s="5" t="s">
        <v>19</v>
      </c>
      <c r="C17" s="5" t="s">
        <v>32</v>
      </c>
      <c r="D17" s="6">
        <v>348980</v>
      </c>
      <c r="E17" s="6">
        <v>15</v>
      </c>
      <c r="G17" s="4">
        <v>36555</v>
      </c>
      <c r="H17" s="5" t="s">
        <v>19</v>
      </c>
      <c r="I17" s="5" t="s">
        <v>32</v>
      </c>
      <c r="J17" s="6">
        <v>348980</v>
      </c>
      <c r="K17" s="6">
        <v>15</v>
      </c>
      <c r="S17" s="49">
        <v>295000</v>
      </c>
    </row>
    <row r="18" spans="1:19" ht="15" x14ac:dyDescent="0.2">
      <c r="A18" s="4">
        <v>36558</v>
      </c>
      <c r="B18" s="5" t="s">
        <v>33</v>
      </c>
      <c r="C18" s="5" t="s">
        <v>34</v>
      </c>
      <c r="D18" s="6">
        <v>127490</v>
      </c>
      <c r="E18" s="6">
        <v>17</v>
      </c>
      <c r="G18" s="4">
        <v>36558</v>
      </c>
      <c r="H18" s="5" t="s">
        <v>33</v>
      </c>
      <c r="I18" s="5" t="s">
        <v>34</v>
      </c>
      <c r="J18" s="6">
        <v>127490</v>
      </c>
      <c r="K18" s="6">
        <v>17</v>
      </c>
      <c r="N18" s="35"/>
      <c r="O18" s="35"/>
      <c r="P18" s="35"/>
      <c r="Q18" s="35"/>
      <c r="R18" s="35"/>
      <c r="S18" s="49">
        <v>201000</v>
      </c>
    </row>
    <row r="19" spans="1:19" ht="15" x14ac:dyDescent="0.2">
      <c r="A19" s="4">
        <v>36558</v>
      </c>
      <c r="B19" s="5" t="s">
        <v>35</v>
      </c>
      <c r="C19" s="5" t="s">
        <v>18</v>
      </c>
      <c r="D19" s="6">
        <v>49400</v>
      </c>
      <c r="E19" s="6">
        <v>13</v>
      </c>
      <c r="G19" s="4">
        <v>36558</v>
      </c>
      <c r="H19" s="5" t="s">
        <v>35</v>
      </c>
      <c r="I19" s="5" t="s">
        <v>18</v>
      </c>
      <c r="J19" s="6">
        <v>49400</v>
      </c>
      <c r="K19" s="6">
        <v>13</v>
      </c>
      <c r="S19" s="49">
        <v>183900</v>
      </c>
    </row>
    <row r="20" spans="1:19" ht="15" x14ac:dyDescent="0.2">
      <c r="A20" s="4">
        <v>36573</v>
      </c>
      <c r="B20" s="5" t="s">
        <v>36</v>
      </c>
      <c r="C20" s="5" t="s">
        <v>37</v>
      </c>
      <c r="D20" s="6">
        <v>201000</v>
      </c>
      <c r="E20" s="6">
        <v>14</v>
      </c>
      <c r="G20" s="4">
        <v>36573</v>
      </c>
      <c r="H20" s="5" t="s">
        <v>36</v>
      </c>
      <c r="I20" s="5" t="s">
        <v>37</v>
      </c>
      <c r="J20" s="6">
        <v>201000</v>
      </c>
      <c r="K20" s="6">
        <v>14</v>
      </c>
      <c r="N20" s="35"/>
      <c r="O20" s="35"/>
      <c r="P20" s="35"/>
      <c r="Q20" s="35"/>
      <c r="R20" s="35"/>
      <c r="S20" s="49">
        <v>183900</v>
      </c>
    </row>
    <row r="21" spans="1:19" ht="15" x14ac:dyDescent="0.2">
      <c r="A21" s="4">
        <v>36573</v>
      </c>
      <c r="B21" s="5" t="s">
        <v>38</v>
      </c>
      <c r="C21" s="5" t="s">
        <v>37</v>
      </c>
      <c r="D21" s="6">
        <v>1368000</v>
      </c>
      <c r="E21" s="6">
        <v>28</v>
      </c>
      <c r="G21" s="4">
        <v>36573</v>
      </c>
      <c r="H21" s="5" t="s">
        <v>38</v>
      </c>
      <c r="I21" s="5" t="s">
        <v>37</v>
      </c>
      <c r="J21" s="6">
        <v>1368000</v>
      </c>
      <c r="K21" s="6">
        <v>28</v>
      </c>
      <c r="S21" s="49">
        <v>163500</v>
      </c>
    </row>
    <row r="22" spans="1:19" ht="15" x14ac:dyDescent="0.2">
      <c r="A22" s="4">
        <v>36576</v>
      </c>
      <c r="B22" s="5" t="s">
        <v>39</v>
      </c>
      <c r="C22" s="5" t="s">
        <v>40</v>
      </c>
      <c r="D22" s="6">
        <v>36850</v>
      </c>
      <c r="E22" s="6">
        <v>16</v>
      </c>
      <c r="G22" s="4">
        <v>36576</v>
      </c>
      <c r="H22" s="5" t="s">
        <v>39</v>
      </c>
      <c r="I22" s="5" t="s">
        <v>40</v>
      </c>
      <c r="J22" s="6">
        <v>36850</v>
      </c>
      <c r="K22" s="6">
        <v>16</v>
      </c>
      <c r="N22" s="35"/>
      <c r="O22" s="35"/>
      <c r="P22" s="35"/>
      <c r="Q22" s="35"/>
      <c r="R22" s="35"/>
      <c r="S22" s="49">
        <v>151500</v>
      </c>
    </row>
    <row r="23" spans="1:19" ht="15" x14ac:dyDescent="0.2">
      <c r="A23" s="4">
        <v>36580</v>
      </c>
      <c r="B23" s="5" t="s">
        <v>41</v>
      </c>
      <c r="C23" s="5" t="s">
        <v>15</v>
      </c>
      <c r="D23" s="6">
        <v>151500</v>
      </c>
      <c r="E23" s="6">
        <v>13</v>
      </c>
      <c r="G23" s="4">
        <v>36580</v>
      </c>
      <c r="H23" s="5" t="s">
        <v>41</v>
      </c>
      <c r="I23" s="5" t="s">
        <v>15</v>
      </c>
      <c r="J23" s="6">
        <v>151500</v>
      </c>
      <c r="K23" s="6">
        <v>13</v>
      </c>
      <c r="S23" s="49">
        <v>127950</v>
      </c>
    </row>
    <row r="24" spans="1:19" ht="15" x14ac:dyDescent="0.2">
      <c r="A24" s="4">
        <v>36589</v>
      </c>
      <c r="B24" s="5" t="s">
        <v>21</v>
      </c>
      <c r="C24" s="5" t="s">
        <v>22</v>
      </c>
      <c r="D24" s="6">
        <v>13500</v>
      </c>
      <c r="E24" s="6">
        <v>20</v>
      </c>
      <c r="G24" s="4">
        <v>36589</v>
      </c>
      <c r="H24" s="5" t="s">
        <v>21</v>
      </c>
      <c r="I24" s="5" t="s">
        <v>22</v>
      </c>
      <c r="J24" s="6">
        <v>13500</v>
      </c>
      <c r="K24" s="6">
        <v>20</v>
      </c>
      <c r="N24" s="35"/>
      <c r="O24" s="35"/>
      <c r="P24" s="35"/>
      <c r="Q24" s="35"/>
      <c r="R24" s="35"/>
      <c r="S24" s="49">
        <v>127490</v>
      </c>
    </row>
    <row r="25" spans="1:19" ht="15" x14ac:dyDescent="0.2">
      <c r="A25" s="4">
        <v>36593</v>
      </c>
      <c r="B25" s="5" t="s">
        <v>42</v>
      </c>
      <c r="C25" s="5" t="s">
        <v>43</v>
      </c>
      <c r="D25" s="6">
        <v>17000</v>
      </c>
      <c r="E25" s="6">
        <v>18</v>
      </c>
      <c r="G25" s="4">
        <v>36593</v>
      </c>
      <c r="H25" s="5" t="s">
        <v>42</v>
      </c>
      <c r="I25" s="5" t="s">
        <v>43</v>
      </c>
      <c r="J25" s="6">
        <v>17000</v>
      </c>
      <c r="K25" s="6">
        <v>18</v>
      </c>
      <c r="S25" s="49">
        <v>127490</v>
      </c>
    </row>
    <row r="26" spans="1:19" ht="15" x14ac:dyDescent="0.2">
      <c r="A26" s="4">
        <v>36594</v>
      </c>
      <c r="B26" s="5" t="s">
        <v>44</v>
      </c>
      <c r="C26" s="5" t="s">
        <v>18</v>
      </c>
      <c r="D26" s="6">
        <v>35900</v>
      </c>
      <c r="E26" s="6">
        <v>16</v>
      </c>
      <c r="G26" s="4">
        <v>36594</v>
      </c>
      <c r="H26" s="5" t="s">
        <v>44</v>
      </c>
      <c r="I26" s="5" t="s">
        <v>18</v>
      </c>
      <c r="J26" s="6">
        <v>35900</v>
      </c>
      <c r="K26" s="6">
        <v>16</v>
      </c>
      <c r="N26" s="35"/>
      <c r="O26" s="35"/>
      <c r="P26" s="35"/>
      <c r="Q26" s="35"/>
      <c r="R26" s="35"/>
      <c r="S26" s="49">
        <v>98450</v>
      </c>
    </row>
    <row r="27" spans="1:19" ht="15" x14ac:dyDescent="0.2">
      <c r="A27" s="4">
        <v>36594</v>
      </c>
      <c r="B27" s="5" t="s">
        <v>45</v>
      </c>
      <c r="C27" s="5" t="s">
        <v>46</v>
      </c>
      <c r="D27" s="6">
        <v>27270</v>
      </c>
      <c r="E27" s="6">
        <v>14</v>
      </c>
      <c r="G27" s="4">
        <v>36594</v>
      </c>
      <c r="H27" s="5" t="s">
        <v>45</v>
      </c>
      <c r="I27" s="5" t="s">
        <v>46</v>
      </c>
      <c r="J27" s="6">
        <v>27270</v>
      </c>
      <c r="K27" s="6">
        <v>14</v>
      </c>
      <c r="S27" s="49">
        <v>87450</v>
      </c>
    </row>
    <row r="28" spans="1:19" ht="15" x14ac:dyDescent="0.2">
      <c r="A28" s="4">
        <v>36594</v>
      </c>
      <c r="B28" s="5" t="s">
        <v>47</v>
      </c>
      <c r="C28" s="5" t="s">
        <v>46</v>
      </c>
      <c r="D28" s="6">
        <v>13400</v>
      </c>
      <c r="E28" s="6">
        <v>14</v>
      </c>
      <c r="G28" s="4">
        <v>36594</v>
      </c>
      <c r="H28" s="5" t="s">
        <v>47</v>
      </c>
      <c r="I28" s="5" t="s">
        <v>46</v>
      </c>
      <c r="J28" s="6">
        <v>13400</v>
      </c>
      <c r="K28" s="6">
        <v>14</v>
      </c>
      <c r="N28" s="35"/>
      <c r="O28" s="35"/>
      <c r="P28" s="35"/>
      <c r="Q28" s="35"/>
      <c r="R28" s="35"/>
      <c r="S28" s="49">
        <v>87300</v>
      </c>
    </row>
    <row r="29" spans="1:19" ht="15" x14ac:dyDescent="0.2">
      <c r="A29" s="4">
        <v>36595</v>
      </c>
      <c r="B29" s="5" t="s">
        <v>41</v>
      </c>
      <c r="C29" s="5" t="s">
        <v>15</v>
      </c>
      <c r="D29" s="6">
        <v>19000</v>
      </c>
      <c r="E29" s="6">
        <v>17</v>
      </c>
      <c r="G29" s="4">
        <v>36595</v>
      </c>
      <c r="H29" s="5" t="s">
        <v>41</v>
      </c>
      <c r="I29" s="5" t="s">
        <v>15</v>
      </c>
      <c r="J29" s="6">
        <v>19000</v>
      </c>
      <c r="K29" s="6">
        <v>17</v>
      </c>
      <c r="S29" s="49">
        <v>84500</v>
      </c>
    </row>
    <row r="30" spans="1:19" ht="15" x14ac:dyDescent="0.2">
      <c r="A30" s="4">
        <v>36595</v>
      </c>
      <c r="B30" s="5" t="s">
        <v>44</v>
      </c>
      <c r="C30" s="5" t="s">
        <v>18</v>
      </c>
      <c r="D30" s="6">
        <v>71800</v>
      </c>
      <c r="E30" s="6">
        <v>18</v>
      </c>
      <c r="G30" s="4">
        <v>36595</v>
      </c>
      <c r="H30" s="5" t="s">
        <v>44</v>
      </c>
      <c r="I30" s="5" t="s">
        <v>18</v>
      </c>
      <c r="J30" s="6">
        <v>71800</v>
      </c>
      <c r="K30" s="6">
        <v>18</v>
      </c>
      <c r="N30" s="35"/>
      <c r="O30" s="35"/>
      <c r="P30" s="35"/>
      <c r="Q30" s="35"/>
      <c r="R30" s="35"/>
      <c r="S30" s="49">
        <v>81500</v>
      </c>
    </row>
    <row r="31" spans="1:19" ht="15" x14ac:dyDescent="0.2">
      <c r="A31" s="4">
        <v>36595</v>
      </c>
      <c r="B31" s="5" t="s">
        <v>47</v>
      </c>
      <c r="C31" s="5" t="s">
        <v>46</v>
      </c>
      <c r="D31" s="6">
        <v>12280</v>
      </c>
      <c r="E31" s="6">
        <v>14</v>
      </c>
      <c r="G31" s="4">
        <v>36595</v>
      </c>
      <c r="H31" s="5" t="s">
        <v>47</v>
      </c>
      <c r="I31" s="5" t="s">
        <v>46</v>
      </c>
      <c r="J31" s="6">
        <v>12280</v>
      </c>
      <c r="K31" s="6">
        <v>14</v>
      </c>
      <c r="S31" s="49">
        <v>78530</v>
      </c>
    </row>
    <row r="32" spans="1:19" ht="15" x14ac:dyDescent="0.2">
      <c r="A32" s="4">
        <v>36595</v>
      </c>
      <c r="B32" s="5" t="s">
        <v>47</v>
      </c>
      <c r="C32" s="5" t="s">
        <v>46</v>
      </c>
      <c r="D32" s="6">
        <v>14670</v>
      </c>
      <c r="E32" s="6">
        <v>17</v>
      </c>
      <c r="G32" s="4">
        <v>36595</v>
      </c>
      <c r="H32" s="5" t="s">
        <v>47</v>
      </c>
      <c r="I32" s="5" t="s">
        <v>46</v>
      </c>
      <c r="J32" s="6">
        <v>14670</v>
      </c>
      <c r="K32" s="6">
        <v>17</v>
      </c>
      <c r="N32" s="35"/>
      <c r="O32" s="35"/>
      <c r="P32" s="35"/>
      <c r="Q32" s="35"/>
      <c r="R32" s="35"/>
      <c r="S32" s="49">
        <v>71800</v>
      </c>
    </row>
    <row r="33" spans="1:19" ht="15" x14ac:dyDescent="0.2">
      <c r="A33" s="4">
        <v>36596</v>
      </c>
      <c r="B33" s="5" t="s">
        <v>48</v>
      </c>
      <c r="C33" s="5" t="s">
        <v>15</v>
      </c>
      <c r="D33" s="6">
        <v>163500</v>
      </c>
      <c r="E33" s="6">
        <v>18</v>
      </c>
      <c r="G33" s="4">
        <v>36596</v>
      </c>
      <c r="H33" s="5" t="s">
        <v>48</v>
      </c>
      <c r="I33" s="5" t="s">
        <v>15</v>
      </c>
      <c r="J33" s="6">
        <v>163500</v>
      </c>
      <c r="K33" s="6">
        <v>18</v>
      </c>
      <c r="S33" s="49">
        <v>55600</v>
      </c>
    </row>
    <row r="34" spans="1:19" ht="15" x14ac:dyDescent="0.2">
      <c r="A34" s="4">
        <v>36596</v>
      </c>
      <c r="B34" s="5" t="s">
        <v>49</v>
      </c>
      <c r="C34" s="5" t="s">
        <v>32</v>
      </c>
      <c r="D34" s="6">
        <v>183900</v>
      </c>
      <c r="E34" s="6">
        <v>26</v>
      </c>
      <c r="G34" s="4">
        <v>36596</v>
      </c>
      <c r="H34" s="5" t="s">
        <v>49</v>
      </c>
      <c r="I34" s="5" t="s">
        <v>32</v>
      </c>
      <c r="J34" s="6">
        <v>183900</v>
      </c>
      <c r="K34" s="6">
        <v>26</v>
      </c>
      <c r="N34" s="35"/>
      <c r="O34" s="35"/>
      <c r="P34" s="35"/>
      <c r="Q34" s="35"/>
      <c r="R34" s="35"/>
      <c r="S34" s="49">
        <v>51800</v>
      </c>
    </row>
    <row r="35" spans="1:19" ht="15" x14ac:dyDescent="0.2">
      <c r="A35" s="4">
        <v>36596</v>
      </c>
      <c r="B35" s="5" t="s">
        <v>50</v>
      </c>
      <c r="C35" s="5" t="s">
        <v>51</v>
      </c>
      <c r="D35" s="6">
        <v>43500</v>
      </c>
      <c r="E35" s="6">
        <v>16</v>
      </c>
      <c r="G35" s="4">
        <v>36596</v>
      </c>
      <c r="H35" s="5" t="s">
        <v>50</v>
      </c>
      <c r="I35" s="5" t="s">
        <v>51</v>
      </c>
      <c r="J35" s="6">
        <v>43500</v>
      </c>
      <c r="K35" s="6">
        <v>16</v>
      </c>
      <c r="S35" s="49">
        <v>50800</v>
      </c>
    </row>
    <row r="36" spans="1:19" ht="15" x14ac:dyDescent="0.2">
      <c r="A36" s="4">
        <v>36596</v>
      </c>
      <c r="B36" s="5" t="s">
        <v>52</v>
      </c>
      <c r="C36" s="5" t="s">
        <v>46</v>
      </c>
      <c r="D36" s="6">
        <v>10730</v>
      </c>
      <c r="E36" s="6">
        <v>17</v>
      </c>
      <c r="G36" s="4">
        <v>36596</v>
      </c>
      <c r="H36" s="5" t="s">
        <v>52</v>
      </c>
      <c r="I36" s="5" t="s">
        <v>46</v>
      </c>
      <c r="J36" s="6">
        <v>10730</v>
      </c>
      <c r="K36" s="6">
        <v>17</v>
      </c>
      <c r="N36" s="35"/>
      <c r="O36" s="35"/>
      <c r="P36" s="35"/>
      <c r="Q36" s="35"/>
      <c r="R36" s="35"/>
      <c r="S36" s="49">
        <v>50280</v>
      </c>
    </row>
    <row r="37" spans="1:19" ht="15" x14ac:dyDescent="0.2">
      <c r="A37" s="4">
        <v>36596</v>
      </c>
      <c r="B37" s="5" t="s">
        <v>53</v>
      </c>
      <c r="C37" s="5" t="s">
        <v>46</v>
      </c>
      <c r="D37" s="6">
        <v>11210</v>
      </c>
      <c r="E37" s="6">
        <v>25</v>
      </c>
      <c r="G37" s="4">
        <v>36596</v>
      </c>
      <c r="H37" s="5" t="s">
        <v>53</v>
      </c>
      <c r="I37" s="5" t="s">
        <v>46</v>
      </c>
      <c r="J37" s="6">
        <v>11210</v>
      </c>
      <c r="K37" s="6">
        <v>25</v>
      </c>
      <c r="S37" s="49">
        <v>50000</v>
      </c>
    </row>
    <row r="38" spans="1:19" ht="15" x14ac:dyDescent="0.2">
      <c r="A38" s="4">
        <v>36596</v>
      </c>
      <c r="B38" s="5" t="s">
        <v>54</v>
      </c>
      <c r="C38" s="5" t="s">
        <v>43</v>
      </c>
      <c r="D38" s="6">
        <v>127950</v>
      </c>
      <c r="E38" s="6">
        <v>20</v>
      </c>
      <c r="G38" s="4">
        <v>36596</v>
      </c>
      <c r="H38" s="5" t="s">
        <v>54</v>
      </c>
      <c r="I38" s="5" t="s">
        <v>43</v>
      </c>
      <c r="J38" s="6">
        <v>127950</v>
      </c>
      <c r="K38" s="6">
        <v>20</v>
      </c>
      <c r="N38" s="35"/>
      <c r="O38" s="35"/>
      <c r="P38" s="35"/>
      <c r="Q38" s="35"/>
      <c r="R38" s="35"/>
      <c r="S38" s="49">
        <v>50000</v>
      </c>
    </row>
    <row r="39" spans="1:19" ht="15" x14ac:dyDescent="0.2">
      <c r="A39" s="4">
        <v>36597</v>
      </c>
      <c r="B39" s="5" t="s">
        <v>55</v>
      </c>
      <c r="C39" s="5" t="s">
        <v>56</v>
      </c>
      <c r="D39" s="6">
        <v>20000</v>
      </c>
      <c r="E39" s="6">
        <v>23</v>
      </c>
      <c r="G39" s="4">
        <v>36597</v>
      </c>
      <c r="H39" s="5" t="s">
        <v>55</v>
      </c>
      <c r="I39" s="5" t="s">
        <v>56</v>
      </c>
      <c r="J39" s="6">
        <v>20000</v>
      </c>
      <c r="K39" s="6">
        <v>23</v>
      </c>
      <c r="S39" s="49">
        <v>49400</v>
      </c>
    </row>
    <row r="40" spans="1:19" ht="15" x14ac:dyDescent="0.2">
      <c r="A40" s="4">
        <v>36597</v>
      </c>
      <c r="B40" s="5" t="s">
        <v>57</v>
      </c>
      <c r="C40" s="5" t="s">
        <v>46</v>
      </c>
      <c r="D40" s="6">
        <v>7850</v>
      </c>
      <c r="E40" s="6">
        <v>25</v>
      </c>
      <c r="G40" s="4">
        <v>36597</v>
      </c>
      <c r="H40" s="5" t="s">
        <v>57</v>
      </c>
      <c r="I40" s="5" t="s">
        <v>46</v>
      </c>
      <c r="J40" s="6">
        <v>7850</v>
      </c>
      <c r="K40" s="6">
        <v>25</v>
      </c>
      <c r="N40" s="35"/>
      <c r="O40" s="35"/>
      <c r="P40" s="35"/>
      <c r="Q40" s="35"/>
      <c r="R40" s="35"/>
      <c r="S40" s="49">
        <v>45890</v>
      </c>
    </row>
    <row r="41" spans="1:19" ht="15" x14ac:dyDescent="0.2">
      <c r="A41" s="4">
        <v>36598</v>
      </c>
      <c r="B41" s="5" t="s">
        <v>33</v>
      </c>
      <c r="C41" s="5" t="s">
        <v>34</v>
      </c>
      <c r="D41" s="6">
        <v>127490</v>
      </c>
      <c r="E41" s="6">
        <v>21</v>
      </c>
      <c r="G41" s="4">
        <v>36598</v>
      </c>
      <c r="H41" s="5" t="s">
        <v>33</v>
      </c>
      <c r="I41" s="5" t="s">
        <v>34</v>
      </c>
      <c r="J41" s="6">
        <v>127490</v>
      </c>
      <c r="K41" s="6">
        <v>21</v>
      </c>
      <c r="S41" s="49">
        <v>44950</v>
      </c>
    </row>
    <row r="42" spans="1:19" ht="15" x14ac:dyDescent="0.2">
      <c r="A42" s="4">
        <v>36598</v>
      </c>
      <c r="B42" s="5" t="s">
        <v>58</v>
      </c>
      <c r="C42" s="5" t="s">
        <v>40</v>
      </c>
      <c r="D42" s="6">
        <v>3950</v>
      </c>
      <c r="E42" s="6">
        <v>17</v>
      </c>
      <c r="G42" s="4">
        <v>36598</v>
      </c>
      <c r="H42" s="5" t="s">
        <v>58</v>
      </c>
      <c r="I42" s="5" t="s">
        <v>40</v>
      </c>
      <c r="J42" s="6">
        <v>3950</v>
      </c>
      <c r="K42" s="6">
        <v>17</v>
      </c>
      <c r="N42" s="35"/>
      <c r="O42" s="35"/>
      <c r="P42" s="35"/>
      <c r="Q42" s="35"/>
      <c r="R42" s="35"/>
      <c r="S42" s="49">
        <v>43500</v>
      </c>
    </row>
    <row r="43" spans="1:19" ht="15" x14ac:dyDescent="0.2">
      <c r="A43" s="4">
        <v>36598</v>
      </c>
      <c r="B43" s="5" t="s">
        <v>14</v>
      </c>
      <c r="C43" s="5" t="s">
        <v>59</v>
      </c>
      <c r="D43" s="6">
        <v>50000</v>
      </c>
      <c r="E43" s="6">
        <v>15</v>
      </c>
      <c r="G43" s="4">
        <v>36598</v>
      </c>
      <c r="H43" s="5" t="s">
        <v>14</v>
      </c>
      <c r="I43" s="5" t="s">
        <v>59</v>
      </c>
      <c r="J43" s="6">
        <v>50000</v>
      </c>
      <c r="K43" s="6">
        <v>15</v>
      </c>
      <c r="S43" s="49">
        <v>43500</v>
      </c>
    </row>
    <row r="44" spans="1:19" ht="15" x14ac:dyDescent="0.2">
      <c r="A44" s="4">
        <v>36600</v>
      </c>
      <c r="B44" s="5" t="s">
        <v>60</v>
      </c>
      <c r="C44" s="5" t="s">
        <v>61</v>
      </c>
      <c r="D44" s="6">
        <v>16650</v>
      </c>
      <c r="E44" s="6">
        <v>24</v>
      </c>
      <c r="G44" s="4">
        <v>36600</v>
      </c>
      <c r="H44" s="5" t="s">
        <v>60</v>
      </c>
      <c r="I44" s="5" t="s">
        <v>61</v>
      </c>
      <c r="J44" s="6">
        <v>16650</v>
      </c>
      <c r="K44" s="6">
        <v>24</v>
      </c>
      <c r="N44" s="35"/>
      <c r="O44" s="35"/>
      <c r="P44" s="35"/>
      <c r="Q44" s="35"/>
      <c r="R44" s="35"/>
      <c r="S44" s="49">
        <v>40650</v>
      </c>
    </row>
    <row r="45" spans="1:19" x14ac:dyDescent="0.2">
      <c r="A45" s="4">
        <v>36603</v>
      </c>
      <c r="B45" s="5" t="s">
        <v>35</v>
      </c>
      <c r="C45" s="5" t="s">
        <v>18</v>
      </c>
      <c r="D45" s="6">
        <v>87300</v>
      </c>
      <c r="E45" s="6">
        <v>18</v>
      </c>
      <c r="G45" s="4">
        <v>36603</v>
      </c>
      <c r="H45" s="5" t="s">
        <v>35</v>
      </c>
      <c r="I45" s="5" t="s">
        <v>18</v>
      </c>
      <c r="J45" s="6">
        <v>87300</v>
      </c>
      <c r="K45" s="6">
        <v>18</v>
      </c>
    </row>
    <row r="46" spans="1:19" x14ac:dyDescent="0.2">
      <c r="A46" s="4">
        <v>36604</v>
      </c>
      <c r="B46" s="5" t="s">
        <v>62</v>
      </c>
      <c r="C46" s="5" t="s">
        <v>63</v>
      </c>
      <c r="D46" s="6">
        <v>2425000</v>
      </c>
      <c r="E46" s="6">
        <v>11</v>
      </c>
      <c r="G46" s="4">
        <v>36604</v>
      </c>
      <c r="H46" s="5" t="s">
        <v>62</v>
      </c>
      <c r="I46" s="5" t="s">
        <v>63</v>
      </c>
      <c r="J46" s="6">
        <v>2425000</v>
      </c>
      <c r="K46" s="6">
        <v>11</v>
      </c>
    </row>
    <row r="47" spans="1:19" x14ac:dyDescent="0.2">
      <c r="A47" s="4">
        <v>36608</v>
      </c>
      <c r="B47" s="5" t="s">
        <v>64</v>
      </c>
      <c r="C47" s="5" t="s">
        <v>15</v>
      </c>
      <c r="D47" s="6">
        <v>18230</v>
      </c>
      <c r="E47" s="6">
        <v>21</v>
      </c>
      <c r="G47" s="4">
        <v>36608</v>
      </c>
      <c r="H47" s="5" t="s">
        <v>64</v>
      </c>
      <c r="I47" s="5" t="s">
        <v>15</v>
      </c>
      <c r="J47" s="6">
        <v>18230</v>
      </c>
      <c r="K47" s="6">
        <v>21</v>
      </c>
    </row>
    <row r="48" spans="1:19" x14ac:dyDescent="0.2">
      <c r="A48" s="4">
        <v>36609</v>
      </c>
      <c r="B48" s="5" t="s">
        <v>54</v>
      </c>
      <c r="C48" s="5" t="s">
        <v>43</v>
      </c>
      <c r="D48" s="6">
        <v>78530</v>
      </c>
      <c r="E48" s="6">
        <v>25</v>
      </c>
      <c r="G48" s="4">
        <v>36609</v>
      </c>
      <c r="H48" s="5" t="s">
        <v>54</v>
      </c>
      <c r="I48" s="5" t="s">
        <v>43</v>
      </c>
      <c r="J48" s="6">
        <v>78530</v>
      </c>
      <c r="K48" s="6">
        <v>25</v>
      </c>
    </row>
    <row r="49" spans="1:19" x14ac:dyDescent="0.2">
      <c r="A49" s="4">
        <v>36609</v>
      </c>
      <c r="B49" s="5" t="s">
        <v>65</v>
      </c>
      <c r="C49" s="5" t="s">
        <v>43</v>
      </c>
      <c r="D49" s="6">
        <v>21000</v>
      </c>
      <c r="E49" s="6">
        <v>18</v>
      </c>
      <c r="G49" s="4">
        <v>36609</v>
      </c>
      <c r="H49" s="5" t="s">
        <v>65</v>
      </c>
      <c r="I49" s="5" t="s">
        <v>43</v>
      </c>
      <c r="J49" s="6">
        <v>21000</v>
      </c>
      <c r="K49" s="6">
        <v>18</v>
      </c>
    </row>
    <row r="50" spans="1:19" x14ac:dyDescent="0.2">
      <c r="A50" s="4">
        <v>36612</v>
      </c>
      <c r="B50" s="5" t="s">
        <v>66</v>
      </c>
      <c r="C50" s="5" t="s">
        <v>67</v>
      </c>
      <c r="D50" s="6">
        <v>34900</v>
      </c>
      <c r="E50" s="6">
        <v>16</v>
      </c>
      <c r="G50" s="4">
        <v>36612</v>
      </c>
      <c r="H50" s="5" t="s">
        <v>66</v>
      </c>
      <c r="I50" s="5" t="s">
        <v>67</v>
      </c>
      <c r="J50" s="6">
        <v>34900</v>
      </c>
      <c r="K50" s="6">
        <v>16</v>
      </c>
      <c r="S50" s="31"/>
    </row>
    <row r="51" spans="1:19" x14ac:dyDescent="0.2">
      <c r="A51" s="4">
        <v>36614</v>
      </c>
      <c r="B51" s="5" t="s">
        <v>58</v>
      </c>
      <c r="C51" s="5" t="s">
        <v>40</v>
      </c>
      <c r="D51" s="6">
        <v>8000</v>
      </c>
      <c r="E51" s="6">
        <v>22</v>
      </c>
      <c r="G51" s="4">
        <v>36614</v>
      </c>
      <c r="H51" s="5" t="s">
        <v>58</v>
      </c>
      <c r="I51" s="5" t="s">
        <v>40</v>
      </c>
      <c r="J51" s="6">
        <v>8000</v>
      </c>
      <c r="K51" s="6">
        <v>22</v>
      </c>
    </row>
    <row r="52" spans="1:19" x14ac:dyDescent="0.2">
      <c r="A52" s="4">
        <v>36614</v>
      </c>
      <c r="B52" s="5" t="s">
        <v>68</v>
      </c>
      <c r="C52" s="5" t="s">
        <v>18</v>
      </c>
      <c r="D52" s="6">
        <v>24660</v>
      </c>
      <c r="E52" s="6">
        <v>27</v>
      </c>
      <c r="G52" s="4">
        <v>36614</v>
      </c>
      <c r="H52" s="5" t="s">
        <v>68</v>
      </c>
      <c r="I52" s="5" t="s">
        <v>18</v>
      </c>
      <c r="J52" s="6">
        <v>24660</v>
      </c>
      <c r="K52" s="6">
        <v>27</v>
      </c>
    </row>
    <row r="53" spans="1:19" x14ac:dyDescent="0.2">
      <c r="A53" s="4">
        <v>36616</v>
      </c>
      <c r="B53" s="5" t="s">
        <v>69</v>
      </c>
      <c r="C53" s="5" t="s">
        <v>67</v>
      </c>
      <c r="D53" s="6">
        <v>22450</v>
      </c>
      <c r="E53" s="6">
        <v>18</v>
      </c>
      <c r="G53" s="4">
        <v>36616</v>
      </c>
      <c r="H53" s="5" t="s">
        <v>69</v>
      </c>
      <c r="I53" s="5" t="s">
        <v>67</v>
      </c>
      <c r="J53" s="6">
        <v>22450</v>
      </c>
      <c r="K53" s="6">
        <v>18</v>
      </c>
    </row>
    <row r="54" spans="1:19" x14ac:dyDescent="0.2">
      <c r="A54" s="4">
        <v>36622</v>
      </c>
      <c r="B54" s="5" t="s">
        <v>69</v>
      </c>
      <c r="C54" s="5" t="s">
        <v>67</v>
      </c>
      <c r="D54" s="6">
        <v>44950</v>
      </c>
      <c r="E54" s="6">
        <v>20</v>
      </c>
      <c r="G54" s="4">
        <v>36622</v>
      </c>
      <c r="H54" s="5" t="s">
        <v>69</v>
      </c>
      <c r="I54" s="5" t="s">
        <v>67</v>
      </c>
      <c r="J54" s="6">
        <v>44950</v>
      </c>
      <c r="K54" s="6">
        <v>20</v>
      </c>
    </row>
    <row r="55" spans="1:19" x14ac:dyDescent="0.2">
      <c r="A55" s="4">
        <v>36624</v>
      </c>
      <c r="B55" s="5" t="s">
        <v>70</v>
      </c>
      <c r="C55" s="5" t="s">
        <v>63</v>
      </c>
      <c r="D55" s="6">
        <v>55600</v>
      </c>
      <c r="E55" s="6">
        <v>11</v>
      </c>
      <c r="G55" s="4">
        <v>36624</v>
      </c>
      <c r="H55" s="5" t="s">
        <v>70</v>
      </c>
      <c r="I55" s="5" t="s">
        <v>63</v>
      </c>
      <c r="J55" s="6">
        <v>55600</v>
      </c>
      <c r="K55" s="6">
        <v>11</v>
      </c>
    </row>
    <row r="56" spans="1:19" x14ac:dyDescent="0.2">
      <c r="A56" s="4">
        <v>36629</v>
      </c>
      <c r="B56" s="5" t="s">
        <v>71</v>
      </c>
      <c r="C56" s="5" t="s">
        <v>72</v>
      </c>
      <c r="D56" s="6">
        <v>84500</v>
      </c>
      <c r="E56" s="6">
        <v>21</v>
      </c>
      <c r="G56" s="4">
        <v>36629</v>
      </c>
      <c r="H56" s="5" t="s">
        <v>71</v>
      </c>
      <c r="I56" s="5" t="s">
        <v>72</v>
      </c>
      <c r="J56" s="6">
        <v>84500</v>
      </c>
      <c r="K56" s="6">
        <v>21</v>
      </c>
    </row>
    <row r="57" spans="1:19" x14ac:dyDescent="0.2">
      <c r="A57" s="4">
        <v>36632</v>
      </c>
      <c r="B57" s="5" t="s">
        <v>48</v>
      </c>
      <c r="C57" s="5" t="s">
        <v>15</v>
      </c>
      <c r="D57" s="6">
        <v>51800</v>
      </c>
      <c r="E57" s="6">
        <v>21</v>
      </c>
      <c r="G57" s="4">
        <v>36632</v>
      </c>
      <c r="H57" s="5" t="s">
        <v>48</v>
      </c>
      <c r="I57" s="5" t="s">
        <v>15</v>
      </c>
      <c r="J57" s="6">
        <v>51800</v>
      </c>
      <c r="K57" s="6">
        <v>21</v>
      </c>
    </row>
    <row r="58" spans="1:19" x14ac:dyDescent="0.2">
      <c r="A58" s="4">
        <v>36632</v>
      </c>
      <c r="B58" s="5" t="s">
        <v>41</v>
      </c>
      <c r="C58" s="5" t="s">
        <v>15</v>
      </c>
      <c r="D58" s="6">
        <v>31000</v>
      </c>
      <c r="E58" s="6">
        <v>16</v>
      </c>
      <c r="G58" s="4">
        <v>36632</v>
      </c>
      <c r="H58" s="5" t="s">
        <v>41</v>
      </c>
      <c r="I58" s="5" t="s">
        <v>15</v>
      </c>
      <c r="J58" s="6">
        <v>31000</v>
      </c>
      <c r="K58" s="6">
        <v>16</v>
      </c>
    </row>
    <row r="59" spans="1:19" x14ac:dyDescent="0.2">
      <c r="A59" s="4">
        <v>36637</v>
      </c>
      <c r="B59" s="5" t="s">
        <v>41</v>
      </c>
      <c r="C59" s="5" t="s">
        <v>15</v>
      </c>
      <c r="D59" s="6">
        <v>81500</v>
      </c>
      <c r="E59" s="6">
        <v>25</v>
      </c>
      <c r="G59" s="4">
        <v>36637</v>
      </c>
      <c r="H59" s="5" t="s">
        <v>41</v>
      </c>
      <c r="I59" s="5" t="s">
        <v>15</v>
      </c>
      <c r="J59" s="6">
        <v>81500</v>
      </c>
      <c r="K59" s="6">
        <v>25</v>
      </c>
    </row>
    <row r="60" spans="1:19" x14ac:dyDescent="0.2">
      <c r="A60" s="4">
        <v>36637</v>
      </c>
      <c r="B60" s="5" t="s">
        <v>49</v>
      </c>
      <c r="C60" s="5" t="s">
        <v>32</v>
      </c>
      <c r="D60" s="6">
        <v>183900</v>
      </c>
      <c r="E60" s="6">
        <v>18</v>
      </c>
      <c r="G60" s="4">
        <v>36637</v>
      </c>
      <c r="H60" s="5" t="s">
        <v>49</v>
      </c>
      <c r="I60" s="5" t="s">
        <v>32</v>
      </c>
      <c r="J60" s="6">
        <v>183900</v>
      </c>
      <c r="K60" s="6">
        <v>18</v>
      </c>
    </row>
    <row r="61" spans="1:19" x14ac:dyDescent="0.2">
      <c r="A61" s="4">
        <v>36637</v>
      </c>
      <c r="B61" s="5" t="s">
        <v>21</v>
      </c>
      <c r="C61" s="5" t="s">
        <v>22</v>
      </c>
      <c r="D61" s="6">
        <v>13500</v>
      </c>
      <c r="E61" s="6">
        <v>18</v>
      </c>
      <c r="G61" s="4">
        <v>36637</v>
      </c>
      <c r="H61" s="5" t="s">
        <v>21</v>
      </c>
      <c r="I61" s="5" t="s">
        <v>22</v>
      </c>
      <c r="J61" s="6">
        <v>13500</v>
      </c>
      <c r="K61" s="6">
        <v>18</v>
      </c>
    </row>
    <row r="62" spans="1:19" x14ac:dyDescent="0.2">
      <c r="A62" s="4">
        <v>36638</v>
      </c>
      <c r="B62" s="5" t="s">
        <v>73</v>
      </c>
      <c r="C62" s="5" t="s">
        <v>74</v>
      </c>
      <c r="D62" s="6">
        <v>2010</v>
      </c>
      <c r="E62" s="6">
        <v>21</v>
      </c>
      <c r="G62" s="4">
        <v>36638</v>
      </c>
      <c r="H62" s="5" t="s">
        <v>73</v>
      </c>
      <c r="I62" s="5" t="s">
        <v>74</v>
      </c>
      <c r="J62" s="6">
        <v>2010</v>
      </c>
      <c r="K62" s="6">
        <v>21</v>
      </c>
    </row>
    <row r="63" spans="1:19" x14ac:dyDescent="0.2">
      <c r="A63" s="4">
        <v>36640</v>
      </c>
      <c r="B63" s="5" t="s">
        <v>75</v>
      </c>
      <c r="C63" s="5" t="s">
        <v>67</v>
      </c>
      <c r="D63" s="6">
        <v>36300</v>
      </c>
      <c r="E63" s="6">
        <v>23</v>
      </c>
      <c r="G63" s="4">
        <v>36640</v>
      </c>
      <c r="H63" s="5" t="s">
        <v>75</v>
      </c>
      <c r="I63" s="5" t="s">
        <v>67</v>
      </c>
      <c r="J63" s="6">
        <v>36300</v>
      </c>
      <c r="K63" s="6">
        <v>23</v>
      </c>
    </row>
    <row r="64" spans="1:19" x14ac:dyDescent="0.2">
      <c r="A64" s="4">
        <v>36642</v>
      </c>
      <c r="B64" s="5" t="s">
        <v>64</v>
      </c>
      <c r="C64" s="5" t="s">
        <v>15</v>
      </c>
      <c r="D64" s="6">
        <v>7640</v>
      </c>
      <c r="E64" s="6">
        <v>20</v>
      </c>
      <c r="G64" s="4">
        <v>36642</v>
      </c>
      <c r="H64" s="5" t="s">
        <v>64</v>
      </c>
      <c r="I64" s="5" t="s">
        <v>15</v>
      </c>
      <c r="J64" s="6">
        <v>7640</v>
      </c>
      <c r="K64" s="6">
        <v>20</v>
      </c>
    </row>
    <row r="65" spans="1:11" x14ac:dyDescent="0.2">
      <c r="A65" s="4">
        <v>36644</v>
      </c>
      <c r="B65" s="5" t="s">
        <v>42</v>
      </c>
      <c r="C65" s="5" t="s">
        <v>43</v>
      </c>
      <c r="D65" s="6">
        <v>18000</v>
      </c>
      <c r="E65" s="6">
        <v>21</v>
      </c>
      <c r="G65" s="4">
        <v>36644</v>
      </c>
      <c r="H65" s="5" t="s">
        <v>42</v>
      </c>
      <c r="I65" s="5" t="s">
        <v>43</v>
      </c>
      <c r="J65" s="6">
        <v>18000</v>
      </c>
      <c r="K65" s="6">
        <v>21</v>
      </c>
    </row>
    <row r="66" spans="1:11" x14ac:dyDescent="0.2">
      <c r="A66" s="4">
        <v>36645</v>
      </c>
      <c r="B66" s="5" t="s">
        <v>73</v>
      </c>
      <c r="C66" s="5" t="s">
        <v>74</v>
      </c>
      <c r="D66" s="6">
        <v>8730</v>
      </c>
      <c r="E66" s="6">
        <v>18</v>
      </c>
      <c r="G66" s="4">
        <v>36645</v>
      </c>
      <c r="H66" s="5" t="s">
        <v>73</v>
      </c>
      <c r="I66" s="5" t="s">
        <v>74</v>
      </c>
      <c r="J66" s="6">
        <v>8730</v>
      </c>
      <c r="K66" s="6">
        <v>18</v>
      </c>
    </row>
    <row r="67" spans="1:11" x14ac:dyDescent="0.2">
      <c r="A67" s="4">
        <v>36645</v>
      </c>
      <c r="B67" s="5" t="s">
        <v>42</v>
      </c>
      <c r="C67" s="5" t="s">
        <v>43</v>
      </c>
      <c r="D67" s="6">
        <v>19000</v>
      </c>
      <c r="E67" s="6">
        <v>12</v>
      </c>
      <c r="G67" s="4">
        <v>36645</v>
      </c>
      <c r="H67" s="5" t="s">
        <v>42</v>
      </c>
      <c r="I67" s="5" t="s">
        <v>43</v>
      </c>
      <c r="J67" s="6">
        <v>19000</v>
      </c>
      <c r="K67" s="6">
        <v>12</v>
      </c>
    </row>
    <row r="68" spans="1:11" x14ac:dyDescent="0.2">
      <c r="A68" s="4">
        <v>36649</v>
      </c>
      <c r="B68" s="5" t="s">
        <v>62</v>
      </c>
      <c r="C68" s="5" t="s">
        <v>63</v>
      </c>
      <c r="D68" s="6">
        <v>2425000</v>
      </c>
      <c r="E68" s="6">
        <v>21</v>
      </c>
      <c r="G68" s="4">
        <v>36649</v>
      </c>
      <c r="H68" s="5" t="s">
        <v>62</v>
      </c>
      <c r="I68" s="5" t="s">
        <v>63</v>
      </c>
      <c r="J68" s="6">
        <v>2425000</v>
      </c>
      <c r="K68" s="6">
        <v>21</v>
      </c>
    </row>
    <row r="69" spans="1:11" x14ac:dyDescent="0.2">
      <c r="A69" s="4">
        <v>36651</v>
      </c>
      <c r="B69" s="5" t="s">
        <v>62</v>
      </c>
      <c r="C69" s="5" t="s">
        <v>63</v>
      </c>
      <c r="D69" s="6">
        <v>1860000</v>
      </c>
      <c r="E69" s="6">
        <v>19</v>
      </c>
      <c r="G69" s="4">
        <v>36651</v>
      </c>
      <c r="H69" s="5" t="s">
        <v>62</v>
      </c>
      <c r="I69" s="5" t="s">
        <v>63</v>
      </c>
      <c r="J69" s="6">
        <v>1860000</v>
      </c>
      <c r="K69" s="6">
        <v>19</v>
      </c>
    </row>
    <row r="70" spans="1:11" x14ac:dyDescent="0.2">
      <c r="A70" s="4">
        <v>36652</v>
      </c>
      <c r="B70" s="5" t="s">
        <v>76</v>
      </c>
      <c r="C70" s="5" t="s">
        <v>74</v>
      </c>
      <c r="D70" s="6">
        <v>6570</v>
      </c>
      <c r="E70" s="6">
        <v>13</v>
      </c>
      <c r="G70" s="4">
        <v>36652</v>
      </c>
      <c r="H70" s="5" t="s">
        <v>76</v>
      </c>
      <c r="I70" s="5" t="s">
        <v>74</v>
      </c>
      <c r="J70" s="6">
        <v>6570</v>
      </c>
      <c r="K70" s="6">
        <v>13</v>
      </c>
    </row>
    <row r="71" spans="1:11" x14ac:dyDescent="0.2">
      <c r="A71" s="4">
        <v>36653</v>
      </c>
      <c r="B71" s="5" t="s">
        <v>77</v>
      </c>
      <c r="C71" s="5" t="s">
        <v>78</v>
      </c>
      <c r="D71" s="6">
        <v>14000</v>
      </c>
      <c r="E71" s="6">
        <v>16</v>
      </c>
      <c r="G71" s="4">
        <v>36653</v>
      </c>
      <c r="H71" s="5" t="s">
        <v>77</v>
      </c>
      <c r="I71" s="5" t="s">
        <v>78</v>
      </c>
      <c r="J71" s="6">
        <v>14000</v>
      </c>
      <c r="K71" s="6">
        <v>16</v>
      </c>
    </row>
    <row r="72" spans="1:11" x14ac:dyDescent="0.2">
      <c r="A72" s="4">
        <v>36665</v>
      </c>
      <c r="B72" s="5" t="s">
        <v>79</v>
      </c>
      <c r="C72" s="5" t="s">
        <v>20</v>
      </c>
      <c r="D72" s="6">
        <v>29980</v>
      </c>
      <c r="E72" s="6">
        <v>19</v>
      </c>
      <c r="G72" s="4">
        <v>36665</v>
      </c>
      <c r="H72" s="5" t="s">
        <v>79</v>
      </c>
      <c r="I72" s="5" t="s">
        <v>20</v>
      </c>
      <c r="J72" s="6">
        <v>29980</v>
      </c>
      <c r="K72" s="6">
        <v>19</v>
      </c>
    </row>
    <row r="73" spans="1:11" x14ac:dyDescent="0.2">
      <c r="A73" s="4">
        <v>36666</v>
      </c>
      <c r="B73" s="5" t="s">
        <v>80</v>
      </c>
      <c r="C73" s="5" t="s">
        <v>18</v>
      </c>
      <c r="D73" s="6">
        <v>17950</v>
      </c>
      <c r="E73" s="6">
        <v>17</v>
      </c>
      <c r="G73" s="4">
        <v>36666</v>
      </c>
      <c r="H73" s="5" t="s">
        <v>80</v>
      </c>
      <c r="I73" s="5" t="s">
        <v>18</v>
      </c>
      <c r="J73" s="6">
        <v>17950</v>
      </c>
      <c r="K73" s="6">
        <v>17</v>
      </c>
    </row>
    <row r="74" spans="1:11" x14ac:dyDescent="0.2">
      <c r="A74" s="4">
        <v>36666</v>
      </c>
      <c r="B74" s="5" t="s">
        <v>68</v>
      </c>
      <c r="C74" s="5" t="s">
        <v>18</v>
      </c>
      <c r="D74" s="6">
        <v>32320</v>
      </c>
      <c r="E74" s="6">
        <v>20</v>
      </c>
      <c r="G74" s="4">
        <v>36666</v>
      </c>
      <c r="H74" s="5" t="s">
        <v>68</v>
      </c>
      <c r="I74" s="5" t="s">
        <v>18</v>
      </c>
      <c r="J74" s="6">
        <v>32320</v>
      </c>
      <c r="K74" s="6">
        <v>20</v>
      </c>
    </row>
    <row r="75" spans="1:11" x14ac:dyDescent="0.2">
      <c r="A75" s="4">
        <v>36667</v>
      </c>
      <c r="B75" s="5" t="s">
        <v>81</v>
      </c>
      <c r="C75" s="5" t="s">
        <v>59</v>
      </c>
      <c r="D75" s="6">
        <v>27350</v>
      </c>
      <c r="E75" s="6">
        <v>19</v>
      </c>
      <c r="G75" s="4">
        <v>36667</v>
      </c>
      <c r="H75" s="5" t="s">
        <v>81</v>
      </c>
      <c r="I75" s="5" t="s">
        <v>59</v>
      </c>
      <c r="J75" s="6">
        <v>27350</v>
      </c>
      <c r="K75" s="6">
        <v>19</v>
      </c>
    </row>
    <row r="76" spans="1:11" x14ac:dyDescent="0.2">
      <c r="A76" s="4">
        <v>36672</v>
      </c>
      <c r="B76" s="5" t="s">
        <v>77</v>
      </c>
      <c r="C76" s="5" t="s">
        <v>78</v>
      </c>
      <c r="D76" s="6">
        <v>15000</v>
      </c>
      <c r="E76" s="6">
        <v>20</v>
      </c>
      <c r="G76" s="4">
        <v>36672</v>
      </c>
      <c r="H76" s="5" t="s">
        <v>77</v>
      </c>
      <c r="I76" s="5" t="s">
        <v>78</v>
      </c>
      <c r="J76" s="6">
        <v>15000</v>
      </c>
      <c r="K76" s="6">
        <v>20</v>
      </c>
    </row>
    <row r="77" spans="1:11" x14ac:dyDescent="0.2">
      <c r="A77" s="4">
        <v>36681</v>
      </c>
      <c r="B77" s="5" t="s">
        <v>21</v>
      </c>
      <c r="C77" s="5" t="s">
        <v>22</v>
      </c>
      <c r="D77" s="6">
        <v>13500</v>
      </c>
      <c r="E77" s="6">
        <v>21</v>
      </c>
      <c r="G77" s="4">
        <v>36681</v>
      </c>
      <c r="H77" s="5" t="s">
        <v>21</v>
      </c>
      <c r="I77" s="5" t="s">
        <v>22</v>
      </c>
      <c r="J77" s="6">
        <v>13500</v>
      </c>
      <c r="K77" s="6">
        <v>21</v>
      </c>
    </row>
    <row r="78" spans="1:11" x14ac:dyDescent="0.2">
      <c r="A78" s="4">
        <v>36682</v>
      </c>
      <c r="B78" s="5" t="s">
        <v>76</v>
      </c>
      <c r="C78" s="5" t="s">
        <v>74</v>
      </c>
      <c r="D78" s="6">
        <v>8600</v>
      </c>
      <c r="E78" s="6">
        <v>22</v>
      </c>
      <c r="G78" s="4">
        <v>36682</v>
      </c>
      <c r="H78" s="5" t="s">
        <v>76</v>
      </c>
      <c r="I78" s="5" t="s">
        <v>74</v>
      </c>
      <c r="J78" s="6">
        <v>8600</v>
      </c>
      <c r="K78" s="6">
        <v>22</v>
      </c>
    </row>
    <row r="79" spans="1:11" x14ac:dyDescent="0.2">
      <c r="A79" s="4">
        <v>36685</v>
      </c>
      <c r="B79" s="5" t="s">
        <v>19</v>
      </c>
      <c r="C79" s="5" t="s">
        <v>20</v>
      </c>
      <c r="D79" s="6">
        <v>15980</v>
      </c>
      <c r="E79" s="6">
        <v>14</v>
      </c>
      <c r="G79" s="4">
        <v>36685</v>
      </c>
      <c r="H79" s="5" t="s">
        <v>19</v>
      </c>
      <c r="I79" s="5" t="s">
        <v>20</v>
      </c>
      <c r="J79" s="6">
        <v>15980</v>
      </c>
      <c r="K79" s="6">
        <v>14</v>
      </c>
    </row>
    <row r="80" spans="1:11" x14ac:dyDescent="0.2">
      <c r="A80" s="4">
        <v>36686</v>
      </c>
      <c r="B80" s="5" t="s">
        <v>64</v>
      </c>
      <c r="C80" s="5" t="s">
        <v>15</v>
      </c>
      <c r="D80" s="6">
        <v>7640</v>
      </c>
      <c r="E80" s="6">
        <v>22</v>
      </c>
      <c r="G80" s="4">
        <v>36686</v>
      </c>
      <c r="H80" s="5" t="s">
        <v>64</v>
      </c>
      <c r="I80" s="5" t="s">
        <v>15</v>
      </c>
      <c r="J80" s="6">
        <v>7640</v>
      </c>
      <c r="K80" s="6">
        <v>22</v>
      </c>
    </row>
    <row r="81" spans="1:11" x14ac:dyDescent="0.2">
      <c r="A81" s="4">
        <v>36697</v>
      </c>
      <c r="B81" s="5" t="s">
        <v>82</v>
      </c>
      <c r="C81" s="5" t="s">
        <v>40</v>
      </c>
      <c r="D81" s="6">
        <v>40650</v>
      </c>
      <c r="E81" s="6">
        <v>17</v>
      </c>
      <c r="G81" s="4">
        <v>36697</v>
      </c>
      <c r="H81" s="5" t="s">
        <v>82</v>
      </c>
      <c r="I81" s="5" t="s">
        <v>40</v>
      </c>
      <c r="J81" s="6">
        <v>40650</v>
      </c>
      <c r="K81" s="6">
        <v>17</v>
      </c>
    </row>
    <row r="82" spans="1:11" x14ac:dyDescent="0.2">
      <c r="A82" s="4">
        <v>36700</v>
      </c>
      <c r="B82" s="5" t="s">
        <v>83</v>
      </c>
      <c r="C82" s="5" t="s">
        <v>18</v>
      </c>
      <c r="D82" s="6">
        <v>50280</v>
      </c>
      <c r="E82" s="6">
        <v>20</v>
      </c>
      <c r="G82" s="4">
        <v>36700</v>
      </c>
      <c r="H82" s="5" t="s">
        <v>83</v>
      </c>
      <c r="I82" s="5" t="s">
        <v>18</v>
      </c>
      <c r="J82" s="6">
        <v>50280</v>
      </c>
      <c r="K82" s="6">
        <v>20</v>
      </c>
    </row>
    <row r="83" spans="1:11" x14ac:dyDescent="0.2">
      <c r="A83" s="4">
        <v>36700</v>
      </c>
      <c r="B83" s="5" t="s">
        <v>83</v>
      </c>
      <c r="C83" s="5" t="s">
        <v>18</v>
      </c>
      <c r="D83" s="6">
        <v>1050</v>
      </c>
      <c r="E83" s="6">
        <v>21</v>
      </c>
      <c r="G83" s="4">
        <v>36700</v>
      </c>
      <c r="H83" s="5" t="s">
        <v>83</v>
      </c>
      <c r="I83" s="5" t="s">
        <v>18</v>
      </c>
      <c r="J83" s="6">
        <v>1050</v>
      </c>
      <c r="K83" s="6">
        <v>21</v>
      </c>
    </row>
    <row r="84" spans="1:11" x14ac:dyDescent="0.2">
      <c r="A84" s="4">
        <v>36705</v>
      </c>
      <c r="B84" s="5" t="s">
        <v>84</v>
      </c>
      <c r="C84" s="5" t="s">
        <v>74</v>
      </c>
      <c r="D84" s="6">
        <v>4950</v>
      </c>
      <c r="E84" s="6">
        <v>28</v>
      </c>
      <c r="G84" s="4">
        <v>36705</v>
      </c>
      <c r="H84" s="5" t="s">
        <v>84</v>
      </c>
      <c r="I84" s="5" t="s">
        <v>74</v>
      </c>
      <c r="J84" s="6">
        <v>4950</v>
      </c>
      <c r="K84" s="6">
        <v>28</v>
      </c>
    </row>
    <row r="85" spans="1:11" x14ac:dyDescent="0.2">
      <c r="F85" s="15" t="b">
        <v>1</v>
      </c>
      <c r="G85" s="53" t="s">
        <v>125</v>
      </c>
      <c r="H85" s="54"/>
      <c r="I85" s="54"/>
      <c r="J85" s="55">
        <f>SUBTOTAL(109,TabellaFatture[Importo fattura])</f>
        <v>11954160</v>
      </c>
      <c r="K85" s="55">
        <f>SUBTOTAL(109,TabellaFatture[Spese di spedizione])</f>
        <v>1526</v>
      </c>
    </row>
    <row r="86" spans="1:11" x14ac:dyDescent="0.2">
      <c r="D86" s="6"/>
      <c r="E86" s="6"/>
      <c r="J86" s="6"/>
      <c r="K86" s="6"/>
    </row>
    <row r="87" spans="1:11" x14ac:dyDescent="0.2">
      <c r="D87" s="6"/>
      <c r="E87" s="6"/>
    </row>
    <row r="168" spans="4:5" x14ac:dyDescent="0.2">
      <c r="D168" s="6"/>
      <c r="E168" s="6"/>
    </row>
    <row r="169" spans="4:5" x14ac:dyDescent="0.2">
      <c r="D169" s="6"/>
      <c r="E169" s="6"/>
    </row>
    <row r="170" spans="4:5" x14ac:dyDescent="0.2">
      <c r="D170" s="6"/>
      <c r="E170" s="6"/>
    </row>
    <row r="171" spans="4:5" x14ac:dyDescent="0.2">
      <c r="D171" s="6"/>
      <c r="E171" s="6"/>
    </row>
    <row r="172" spans="4:5" x14ac:dyDescent="0.2">
      <c r="D172" s="6"/>
      <c r="E172" s="6"/>
    </row>
    <row r="173" spans="4:5" x14ac:dyDescent="0.2">
      <c r="D173" s="6"/>
      <c r="E173" s="6"/>
    </row>
    <row r="174" spans="4:5" x14ac:dyDescent="0.2">
      <c r="D174" s="6"/>
      <c r="E174" s="6"/>
    </row>
    <row r="175" spans="4:5" x14ac:dyDescent="0.2">
      <c r="D175" s="6"/>
      <c r="E175" s="6"/>
    </row>
    <row r="176" spans="4:5" x14ac:dyDescent="0.2">
      <c r="D176" s="6"/>
      <c r="E176" s="6"/>
    </row>
    <row r="177" spans="4:5" x14ac:dyDescent="0.2">
      <c r="D177" s="6"/>
      <c r="E177" s="6"/>
    </row>
    <row r="178" spans="4:5" x14ac:dyDescent="0.2">
      <c r="D178" s="6"/>
      <c r="E178" s="6"/>
    </row>
    <row r="179" spans="4:5" x14ac:dyDescent="0.2">
      <c r="D179" s="6"/>
      <c r="E179" s="6"/>
    </row>
    <row r="180" spans="4:5" x14ac:dyDescent="0.2">
      <c r="D180" s="6"/>
      <c r="E180" s="6"/>
    </row>
    <row r="181" spans="4:5" x14ac:dyDescent="0.2">
      <c r="D181" s="6"/>
      <c r="E181" s="6"/>
    </row>
    <row r="182" spans="4:5" x14ac:dyDescent="0.2">
      <c r="D182" s="6"/>
      <c r="E182" s="6"/>
    </row>
    <row r="183" spans="4:5" x14ac:dyDescent="0.2">
      <c r="D183" s="6"/>
      <c r="E183" s="6"/>
    </row>
    <row r="184" spans="4:5" x14ac:dyDescent="0.2">
      <c r="D184" s="6"/>
      <c r="E184" s="6"/>
    </row>
    <row r="185" spans="4:5" x14ac:dyDescent="0.2">
      <c r="D185" s="6"/>
      <c r="E185" s="6"/>
    </row>
    <row r="186" spans="4:5" x14ac:dyDescent="0.2">
      <c r="D186" s="6"/>
      <c r="E186" s="6"/>
    </row>
    <row r="187" spans="4:5" x14ac:dyDescent="0.2">
      <c r="D187" s="6"/>
      <c r="E187" s="6"/>
    </row>
    <row r="188" spans="4:5" x14ac:dyDescent="0.2">
      <c r="D188" s="6"/>
      <c r="E188" s="6"/>
    </row>
    <row r="189" spans="4:5" x14ac:dyDescent="0.2">
      <c r="D189" s="6"/>
      <c r="E189" s="6"/>
    </row>
    <row r="190" spans="4:5" x14ac:dyDescent="0.2">
      <c r="D190" s="6"/>
      <c r="E190" s="6"/>
    </row>
    <row r="191" spans="4:5" x14ac:dyDescent="0.2">
      <c r="D191" s="6"/>
      <c r="E191" s="6"/>
    </row>
    <row r="192" spans="4:5" x14ac:dyDescent="0.2">
      <c r="D192" s="6"/>
      <c r="E192" s="6"/>
    </row>
    <row r="193" spans="4:5" x14ac:dyDescent="0.2">
      <c r="D193" s="6"/>
      <c r="E193" s="6"/>
    </row>
    <row r="194" spans="4:5" x14ac:dyDescent="0.2">
      <c r="D194" s="6"/>
      <c r="E194" s="6"/>
    </row>
    <row r="195" spans="4:5" x14ac:dyDescent="0.2">
      <c r="D195" s="6"/>
      <c r="E195" s="6"/>
    </row>
    <row r="196" spans="4:5" x14ac:dyDescent="0.2">
      <c r="D196" s="6"/>
      <c r="E196" s="6"/>
    </row>
    <row r="197" spans="4:5" x14ac:dyDescent="0.2">
      <c r="D197" s="6"/>
      <c r="E197" s="6"/>
    </row>
    <row r="198" spans="4:5" x14ac:dyDescent="0.2">
      <c r="D198" s="6"/>
      <c r="E198" s="6"/>
    </row>
    <row r="199" spans="4:5" x14ac:dyDescent="0.2">
      <c r="D199" s="6"/>
      <c r="E199" s="6"/>
    </row>
    <row r="200" spans="4:5" x14ac:dyDescent="0.2">
      <c r="D200" s="6"/>
      <c r="E200" s="6"/>
    </row>
    <row r="201" spans="4:5" x14ac:dyDescent="0.2">
      <c r="D201" s="6"/>
      <c r="E201" s="6"/>
    </row>
    <row r="202" spans="4:5" x14ac:dyDescent="0.2">
      <c r="D202" s="6"/>
      <c r="E202" s="6"/>
    </row>
    <row r="203" spans="4:5" x14ac:dyDescent="0.2">
      <c r="D203" s="6"/>
      <c r="E203" s="6"/>
    </row>
    <row r="204" spans="4:5" x14ac:dyDescent="0.2">
      <c r="D204" s="6"/>
      <c r="E204" s="6"/>
    </row>
    <row r="205" spans="4:5" x14ac:dyDescent="0.2">
      <c r="D205" s="6"/>
      <c r="E205" s="6"/>
    </row>
    <row r="206" spans="4:5" x14ac:dyDescent="0.2">
      <c r="D206" s="6"/>
      <c r="E206" s="6"/>
    </row>
    <row r="207" spans="4:5" x14ac:dyDescent="0.2">
      <c r="D207" s="6"/>
      <c r="E207" s="6"/>
    </row>
    <row r="208" spans="4:5" x14ac:dyDescent="0.2">
      <c r="D208" s="6"/>
      <c r="E208" s="6"/>
    </row>
    <row r="209" spans="4:5" x14ac:dyDescent="0.2">
      <c r="D209" s="6"/>
      <c r="E209" s="6"/>
    </row>
    <row r="210" spans="4:5" x14ac:dyDescent="0.2">
      <c r="D210" s="6"/>
      <c r="E210" s="6"/>
    </row>
    <row r="211" spans="4:5" x14ac:dyDescent="0.2">
      <c r="D211" s="6"/>
      <c r="E211" s="6"/>
    </row>
    <row r="212" spans="4:5" x14ac:dyDescent="0.2">
      <c r="D212" s="6"/>
      <c r="E212" s="6"/>
    </row>
    <row r="213" spans="4:5" x14ac:dyDescent="0.2">
      <c r="D213" s="6"/>
      <c r="E213" s="6"/>
    </row>
    <row r="214" spans="4:5" x14ac:dyDescent="0.2">
      <c r="D214" s="6"/>
      <c r="E214" s="6"/>
    </row>
    <row r="215" spans="4:5" x14ac:dyDescent="0.2">
      <c r="D215" s="6"/>
      <c r="E215" s="6"/>
    </row>
    <row r="216" spans="4:5" x14ac:dyDescent="0.2">
      <c r="D216" s="6"/>
      <c r="E216" s="6"/>
    </row>
    <row r="217" spans="4:5" x14ac:dyDescent="0.2">
      <c r="D217" s="6"/>
      <c r="E217" s="6"/>
    </row>
    <row r="218" spans="4:5" x14ac:dyDescent="0.2">
      <c r="D218" s="6"/>
      <c r="E218" s="6"/>
    </row>
    <row r="219" spans="4:5" x14ac:dyDescent="0.2">
      <c r="D219" s="6"/>
      <c r="E219" s="6"/>
    </row>
    <row r="220" spans="4:5" x14ac:dyDescent="0.2">
      <c r="D220" s="6"/>
      <c r="E220" s="6"/>
    </row>
    <row r="221" spans="4:5" x14ac:dyDescent="0.2">
      <c r="D221" s="6"/>
      <c r="E221" s="6"/>
    </row>
    <row r="222" spans="4:5" x14ac:dyDescent="0.2">
      <c r="D222" s="6"/>
      <c r="E222" s="6"/>
    </row>
    <row r="223" spans="4:5" x14ac:dyDescent="0.2">
      <c r="D223" s="6"/>
      <c r="E223" s="6"/>
    </row>
    <row r="224" spans="4:5" x14ac:dyDescent="0.2">
      <c r="D224" s="6"/>
      <c r="E224" s="6"/>
    </row>
    <row r="225" spans="4:5" x14ac:dyDescent="0.2">
      <c r="D225" s="6"/>
      <c r="E225" s="6"/>
    </row>
    <row r="226" spans="4:5" x14ac:dyDescent="0.2">
      <c r="D226" s="6"/>
      <c r="E226" s="6"/>
    </row>
    <row r="227" spans="4:5" x14ac:dyDescent="0.2">
      <c r="D227" s="6"/>
      <c r="E227" s="6"/>
    </row>
    <row r="228" spans="4:5" x14ac:dyDescent="0.2">
      <c r="D228" s="6"/>
      <c r="E228" s="6"/>
    </row>
    <row r="229" spans="4:5" x14ac:dyDescent="0.2">
      <c r="D229" s="6"/>
      <c r="E229" s="6"/>
    </row>
    <row r="230" spans="4:5" x14ac:dyDescent="0.2">
      <c r="D230" s="6"/>
      <c r="E230" s="6"/>
    </row>
    <row r="231" spans="4:5" x14ac:dyDescent="0.2">
      <c r="D231" s="6"/>
      <c r="E231" s="6"/>
    </row>
    <row r="232" spans="4:5" x14ac:dyDescent="0.2">
      <c r="D232" s="6"/>
      <c r="E232" s="6"/>
    </row>
    <row r="233" spans="4:5" x14ac:dyDescent="0.2">
      <c r="D233" s="6"/>
      <c r="E233" s="6"/>
    </row>
    <row r="234" spans="4:5" x14ac:dyDescent="0.2">
      <c r="D234" s="6"/>
      <c r="E234" s="6"/>
    </row>
    <row r="235" spans="4:5" x14ac:dyDescent="0.2">
      <c r="D235" s="6"/>
      <c r="E235" s="6"/>
    </row>
    <row r="236" spans="4:5" x14ac:dyDescent="0.2">
      <c r="D236" s="6"/>
      <c r="E236" s="6"/>
    </row>
    <row r="237" spans="4:5" x14ac:dyDescent="0.2">
      <c r="D237" s="6"/>
      <c r="E237" s="6"/>
    </row>
    <row r="238" spans="4:5" x14ac:dyDescent="0.2">
      <c r="D238" s="6"/>
      <c r="E238" s="6"/>
    </row>
    <row r="239" spans="4:5" x14ac:dyDescent="0.2">
      <c r="D239" s="6"/>
      <c r="E239" s="6"/>
    </row>
    <row r="240" spans="4:5" x14ac:dyDescent="0.2">
      <c r="D240" s="6"/>
      <c r="E240" s="6"/>
    </row>
    <row r="241" spans="4:5" x14ac:dyDescent="0.2">
      <c r="D241" s="6"/>
      <c r="E241" s="6"/>
    </row>
    <row r="242" spans="4:5" x14ac:dyDescent="0.2">
      <c r="D242" s="6"/>
      <c r="E242" s="6"/>
    </row>
    <row r="243" spans="4:5" x14ac:dyDescent="0.2">
      <c r="D243" s="6"/>
      <c r="E243" s="6"/>
    </row>
    <row r="244" spans="4:5" x14ac:dyDescent="0.2">
      <c r="D244" s="6"/>
      <c r="E244" s="6"/>
    </row>
    <row r="245" spans="4:5" x14ac:dyDescent="0.2">
      <c r="D245" s="6"/>
      <c r="E245" s="6"/>
    </row>
    <row r="246" spans="4:5" x14ac:dyDescent="0.2">
      <c r="D246" s="6"/>
      <c r="E246" s="6"/>
    </row>
    <row r="247" spans="4:5" x14ac:dyDescent="0.2">
      <c r="D247" s="6"/>
      <c r="E247" s="6"/>
    </row>
    <row r="248" spans="4:5" x14ac:dyDescent="0.2">
      <c r="D248" s="6"/>
      <c r="E248" s="6"/>
    </row>
    <row r="249" spans="4:5" x14ac:dyDescent="0.2">
      <c r="D249" s="6"/>
      <c r="E249" s="6"/>
    </row>
    <row r="250" spans="4:5" x14ac:dyDescent="0.2">
      <c r="D250" s="6"/>
      <c r="E250" s="6"/>
    </row>
    <row r="251" spans="4:5" x14ac:dyDescent="0.2">
      <c r="D251" s="6"/>
      <c r="E251" s="6"/>
    </row>
    <row r="252" spans="4:5" x14ac:dyDescent="0.2">
      <c r="D252" s="6"/>
      <c r="E252" s="6"/>
    </row>
    <row r="253" spans="4:5" x14ac:dyDescent="0.2">
      <c r="D253" s="6"/>
      <c r="E253" s="6"/>
    </row>
    <row r="254" spans="4:5" x14ac:dyDescent="0.2">
      <c r="D254" s="6"/>
      <c r="E254" s="6"/>
    </row>
    <row r="255" spans="4:5" x14ac:dyDescent="0.2">
      <c r="D255" s="6"/>
      <c r="E255" s="6"/>
    </row>
    <row r="256" spans="4:5" x14ac:dyDescent="0.2">
      <c r="D256" s="6"/>
      <c r="E256" s="6"/>
    </row>
    <row r="257" spans="4:5" x14ac:dyDescent="0.2">
      <c r="D257" s="6"/>
      <c r="E257" s="6"/>
    </row>
    <row r="258" spans="4:5" x14ac:dyDescent="0.2">
      <c r="D258" s="6"/>
      <c r="E258" s="6"/>
    </row>
    <row r="259" spans="4:5" x14ac:dyDescent="0.2">
      <c r="D259" s="6"/>
      <c r="E259" s="6"/>
    </row>
    <row r="260" spans="4:5" x14ac:dyDescent="0.2">
      <c r="D260" s="6"/>
      <c r="E260" s="6"/>
    </row>
    <row r="261" spans="4:5" x14ac:dyDescent="0.2">
      <c r="D261" s="6"/>
      <c r="E261" s="6"/>
    </row>
    <row r="262" spans="4:5" x14ac:dyDescent="0.2">
      <c r="D262" s="6"/>
      <c r="E262" s="6"/>
    </row>
    <row r="263" spans="4:5" x14ac:dyDescent="0.2">
      <c r="D263" s="6"/>
      <c r="E263" s="6"/>
    </row>
    <row r="264" spans="4:5" x14ac:dyDescent="0.2">
      <c r="D264" s="6"/>
      <c r="E264" s="6"/>
    </row>
    <row r="265" spans="4:5" x14ac:dyDescent="0.2">
      <c r="D265" s="6"/>
      <c r="E265" s="6"/>
    </row>
    <row r="266" spans="4:5" x14ac:dyDescent="0.2">
      <c r="D266" s="6"/>
      <c r="E266" s="6"/>
    </row>
    <row r="267" spans="4:5" x14ac:dyDescent="0.2">
      <c r="D267" s="6"/>
      <c r="E267" s="6"/>
    </row>
    <row r="268" spans="4:5" x14ac:dyDescent="0.2">
      <c r="D268" s="6"/>
      <c r="E268" s="6"/>
    </row>
    <row r="269" spans="4:5" x14ac:dyDescent="0.2">
      <c r="D269" s="6"/>
      <c r="E269" s="6"/>
    </row>
    <row r="270" spans="4:5" x14ac:dyDescent="0.2">
      <c r="D270" s="6"/>
      <c r="E270" s="6"/>
    </row>
    <row r="271" spans="4:5" x14ac:dyDescent="0.2">
      <c r="D271" s="6"/>
      <c r="E271" s="6"/>
    </row>
    <row r="272" spans="4:5" x14ac:dyDescent="0.2">
      <c r="D272" s="6"/>
      <c r="E272" s="6"/>
    </row>
    <row r="273" spans="4:5" x14ac:dyDescent="0.2">
      <c r="D273" s="6"/>
      <c r="E273" s="6"/>
    </row>
    <row r="274" spans="4:5" x14ac:dyDescent="0.2">
      <c r="D274" s="6"/>
      <c r="E274" s="6"/>
    </row>
    <row r="275" spans="4:5" x14ac:dyDescent="0.2">
      <c r="D275" s="6"/>
      <c r="E275" s="6"/>
    </row>
    <row r="276" spans="4:5" x14ac:dyDescent="0.2">
      <c r="D276" s="6"/>
      <c r="E276" s="6"/>
    </row>
    <row r="277" spans="4:5" x14ac:dyDescent="0.2">
      <c r="D277" s="6"/>
      <c r="E277" s="6"/>
    </row>
    <row r="278" spans="4:5" x14ac:dyDescent="0.2">
      <c r="D278" s="6"/>
      <c r="E278" s="6"/>
    </row>
    <row r="279" spans="4:5" x14ac:dyDescent="0.2">
      <c r="D279" s="6"/>
      <c r="E279" s="6"/>
    </row>
    <row r="280" spans="4:5" x14ac:dyDescent="0.2">
      <c r="D280" s="6"/>
      <c r="E280" s="6"/>
    </row>
    <row r="281" spans="4:5" x14ac:dyDescent="0.2">
      <c r="D281" s="6"/>
      <c r="E281" s="6"/>
    </row>
    <row r="282" spans="4:5" x14ac:dyDescent="0.2">
      <c r="D282" s="6"/>
      <c r="E282" s="6"/>
    </row>
    <row r="283" spans="4:5" x14ac:dyDescent="0.2">
      <c r="D283" s="6"/>
      <c r="E283" s="6"/>
    </row>
    <row r="284" spans="4:5" x14ac:dyDescent="0.2">
      <c r="D284" s="6"/>
      <c r="E284" s="6"/>
    </row>
    <row r="285" spans="4:5" x14ac:dyDescent="0.2">
      <c r="D285" s="6"/>
      <c r="E285" s="6"/>
    </row>
    <row r="286" spans="4:5" x14ac:dyDescent="0.2">
      <c r="D286" s="6"/>
      <c r="E286" s="6"/>
    </row>
    <row r="287" spans="4:5" x14ac:dyDescent="0.2">
      <c r="D287" s="6"/>
      <c r="E287" s="6"/>
    </row>
    <row r="288" spans="4:5" x14ac:dyDescent="0.2">
      <c r="D288" s="6"/>
      <c r="E288" s="6"/>
    </row>
    <row r="289" spans="4:5" x14ac:dyDescent="0.2">
      <c r="D289" s="6"/>
      <c r="E289" s="6"/>
    </row>
    <row r="290" spans="4:5" x14ac:dyDescent="0.2">
      <c r="D290" s="6"/>
      <c r="E290" s="6"/>
    </row>
    <row r="291" spans="4:5" x14ac:dyDescent="0.2">
      <c r="D291" s="6"/>
      <c r="E291" s="6"/>
    </row>
    <row r="292" spans="4:5" x14ac:dyDescent="0.2">
      <c r="D292" s="6"/>
      <c r="E292" s="6"/>
    </row>
    <row r="293" spans="4:5" x14ac:dyDescent="0.2">
      <c r="D293" s="6"/>
      <c r="E293" s="6"/>
    </row>
    <row r="294" spans="4:5" x14ac:dyDescent="0.2">
      <c r="D294" s="6"/>
      <c r="E294" s="6"/>
    </row>
    <row r="295" spans="4:5" x14ac:dyDescent="0.2">
      <c r="D295" s="6"/>
      <c r="E295" s="6"/>
    </row>
    <row r="296" spans="4:5" x14ac:dyDescent="0.2">
      <c r="D296" s="6"/>
      <c r="E296" s="6"/>
    </row>
    <row r="297" spans="4:5" x14ac:dyDescent="0.2">
      <c r="D297" s="6"/>
      <c r="E297" s="6"/>
    </row>
    <row r="298" spans="4:5" x14ac:dyDescent="0.2">
      <c r="D298" s="6"/>
      <c r="E298" s="6"/>
    </row>
    <row r="299" spans="4:5" x14ac:dyDescent="0.2">
      <c r="D299" s="6"/>
      <c r="E299" s="6"/>
    </row>
    <row r="300" spans="4:5" x14ac:dyDescent="0.2">
      <c r="D300" s="6"/>
      <c r="E300" s="6"/>
    </row>
    <row r="301" spans="4:5" x14ac:dyDescent="0.2">
      <c r="D301" s="6"/>
      <c r="E301" s="6"/>
    </row>
    <row r="302" spans="4:5" x14ac:dyDescent="0.2">
      <c r="D302" s="6"/>
      <c r="E302" s="6"/>
    </row>
    <row r="303" spans="4:5" x14ac:dyDescent="0.2">
      <c r="D303" s="6"/>
      <c r="E303" s="6"/>
    </row>
    <row r="304" spans="4:5" x14ac:dyDescent="0.2">
      <c r="D304" s="6"/>
      <c r="E304" s="6"/>
    </row>
    <row r="305" spans="4:5" x14ac:dyDescent="0.2">
      <c r="D305" s="6"/>
      <c r="E305" s="6"/>
    </row>
    <row r="306" spans="4:5" x14ac:dyDescent="0.2">
      <c r="D306" s="6"/>
      <c r="E306" s="6"/>
    </row>
    <row r="307" spans="4:5" x14ac:dyDescent="0.2">
      <c r="D307" s="6"/>
      <c r="E307" s="6"/>
    </row>
    <row r="308" spans="4:5" x14ac:dyDescent="0.2">
      <c r="D308" s="6"/>
      <c r="E308" s="6"/>
    </row>
    <row r="309" spans="4:5" x14ac:dyDescent="0.2">
      <c r="D309" s="6"/>
      <c r="E309" s="6"/>
    </row>
    <row r="310" spans="4:5" x14ac:dyDescent="0.2">
      <c r="D310" s="6"/>
      <c r="E310" s="6"/>
    </row>
    <row r="311" spans="4:5" x14ac:dyDescent="0.2">
      <c r="D311" s="6"/>
      <c r="E311" s="6"/>
    </row>
    <row r="312" spans="4:5" x14ac:dyDescent="0.2">
      <c r="D312" s="6"/>
      <c r="E312" s="6"/>
    </row>
    <row r="313" spans="4:5" x14ac:dyDescent="0.2">
      <c r="D313" s="6"/>
      <c r="E313" s="6"/>
    </row>
    <row r="314" spans="4:5" x14ac:dyDescent="0.2">
      <c r="D314" s="6"/>
      <c r="E314" s="6"/>
    </row>
    <row r="315" spans="4:5" x14ac:dyDescent="0.2">
      <c r="D315" s="6"/>
      <c r="E315" s="6"/>
    </row>
    <row r="316" spans="4:5" x14ac:dyDescent="0.2">
      <c r="D316" s="6"/>
      <c r="E316" s="6"/>
    </row>
    <row r="317" spans="4:5" x14ac:dyDescent="0.2">
      <c r="D317" s="6"/>
      <c r="E317" s="6"/>
    </row>
    <row r="318" spans="4:5" x14ac:dyDescent="0.2">
      <c r="D318" s="6"/>
      <c r="E318" s="6"/>
    </row>
    <row r="319" spans="4:5" x14ac:dyDescent="0.2">
      <c r="D319" s="6"/>
      <c r="E319" s="6"/>
    </row>
    <row r="320" spans="4:5" x14ac:dyDescent="0.2">
      <c r="D320" s="6"/>
      <c r="E320" s="6"/>
    </row>
    <row r="321" spans="4:5" x14ac:dyDescent="0.2">
      <c r="D321" s="6"/>
      <c r="E321" s="6"/>
    </row>
    <row r="322" spans="4:5" x14ac:dyDescent="0.2">
      <c r="D322" s="6"/>
      <c r="E322" s="6"/>
    </row>
    <row r="323" spans="4:5" x14ac:dyDescent="0.2">
      <c r="D323" s="6"/>
      <c r="E323" s="6"/>
    </row>
    <row r="324" spans="4:5" x14ac:dyDescent="0.2">
      <c r="D324" s="6"/>
      <c r="E324" s="6"/>
    </row>
    <row r="325" spans="4:5" x14ac:dyDescent="0.2">
      <c r="D325" s="6"/>
      <c r="E325" s="6"/>
    </row>
    <row r="326" spans="4:5" x14ac:dyDescent="0.2">
      <c r="D326" s="6"/>
      <c r="E326" s="6"/>
    </row>
    <row r="327" spans="4:5" x14ac:dyDescent="0.2">
      <c r="D327" s="6"/>
      <c r="E327" s="6"/>
    </row>
    <row r="328" spans="4:5" x14ac:dyDescent="0.2">
      <c r="D328" s="6"/>
      <c r="E328" s="6"/>
    </row>
    <row r="329" spans="4:5" x14ac:dyDescent="0.2">
      <c r="D329" s="6"/>
      <c r="E329" s="6"/>
    </row>
    <row r="330" spans="4:5" x14ac:dyDescent="0.2">
      <c r="D330" s="6"/>
      <c r="E330" s="6"/>
    </row>
    <row r="331" spans="4:5" x14ac:dyDescent="0.2">
      <c r="D331" s="6"/>
      <c r="E331" s="6"/>
    </row>
    <row r="332" spans="4:5" x14ac:dyDescent="0.2">
      <c r="D332" s="6"/>
      <c r="E332" s="6"/>
    </row>
    <row r="333" spans="4:5" x14ac:dyDescent="0.2">
      <c r="D333" s="6"/>
      <c r="E333" s="6"/>
    </row>
    <row r="334" spans="4:5" x14ac:dyDescent="0.2">
      <c r="D334" s="6"/>
      <c r="E334" s="6"/>
    </row>
    <row r="335" spans="4:5" x14ac:dyDescent="0.2">
      <c r="D335" s="6"/>
      <c r="E335" s="6"/>
    </row>
    <row r="336" spans="4:5" x14ac:dyDescent="0.2">
      <c r="D336" s="6"/>
      <c r="E336" s="6"/>
    </row>
    <row r="337" spans="4:5" x14ac:dyDescent="0.2">
      <c r="D337" s="6"/>
      <c r="E337" s="6"/>
    </row>
    <row r="338" spans="4:5" x14ac:dyDescent="0.2">
      <c r="D338" s="6"/>
      <c r="E338" s="6"/>
    </row>
    <row r="339" spans="4:5" x14ac:dyDescent="0.2">
      <c r="D339" s="6"/>
      <c r="E339" s="6"/>
    </row>
    <row r="340" spans="4:5" x14ac:dyDescent="0.2">
      <c r="D340" s="6"/>
      <c r="E340" s="6"/>
    </row>
    <row r="341" spans="4:5" x14ac:dyDescent="0.2">
      <c r="D341" s="6"/>
      <c r="E341" s="6"/>
    </row>
    <row r="342" spans="4:5" x14ac:dyDescent="0.2">
      <c r="D342" s="6"/>
      <c r="E342" s="6"/>
    </row>
    <row r="343" spans="4:5" x14ac:dyDescent="0.2">
      <c r="D343" s="6"/>
      <c r="E343" s="6"/>
    </row>
    <row r="344" spans="4:5" x14ac:dyDescent="0.2">
      <c r="D344" s="6"/>
      <c r="E344" s="6"/>
    </row>
    <row r="345" spans="4:5" x14ac:dyDescent="0.2">
      <c r="D345" s="6"/>
      <c r="E345" s="6"/>
    </row>
    <row r="346" spans="4:5" x14ac:dyDescent="0.2">
      <c r="D346" s="6"/>
      <c r="E346" s="6"/>
    </row>
    <row r="347" spans="4:5" x14ac:dyDescent="0.2">
      <c r="D347" s="6"/>
      <c r="E347" s="6"/>
    </row>
    <row r="348" spans="4:5" x14ac:dyDescent="0.2">
      <c r="D348" s="6"/>
      <c r="E348" s="6"/>
    </row>
    <row r="349" spans="4:5" x14ac:dyDescent="0.2">
      <c r="D349" s="6"/>
      <c r="E349" s="6"/>
    </row>
    <row r="350" spans="4:5" x14ac:dyDescent="0.2">
      <c r="D350" s="6"/>
      <c r="E350" s="6"/>
    </row>
    <row r="351" spans="4:5" x14ac:dyDescent="0.2">
      <c r="D351" s="6"/>
      <c r="E351" s="6"/>
    </row>
    <row r="352" spans="4:5" x14ac:dyDescent="0.2">
      <c r="D352" s="6"/>
      <c r="E352" s="6"/>
    </row>
    <row r="353" spans="4:5" x14ac:dyDescent="0.2">
      <c r="D353" s="6"/>
      <c r="E353" s="6"/>
    </row>
    <row r="354" spans="4:5" x14ac:dyDescent="0.2">
      <c r="D354" s="6"/>
      <c r="E354" s="6"/>
    </row>
    <row r="355" spans="4:5" x14ac:dyDescent="0.2">
      <c r="D355" s="6"/>
      <c r="E355" s="6"/>
    </row>
    <row r="356" spans="4:5" x14ac:dyDescent="0.2">
      <c r="D356" s="6"/>
      <c r="E356" s="6"/>
    </row>
    <row r="357" spans="4:5" x14ac:dyDescent="0.2">
      <c r="D357" s="6"/>
      <c r="E357" s="6"/>
    </row>
    <row r="358" spans="4:5" x14ac:dyDescent="0.2">
      <c r="D358" s="6"/>
      <c r="E358" s="6"/>
    </row>
    <row r="359" spans="4:5" x14ac:dyDescent="0.2">
      <c r="D359" s="6"/>
      <c r="E359" s="6"/>
    </row>
    <row r="360" spans="4:5" x14ac:dyDescent="0.2">
      <c r="D360" s="6"/>
      <c r="E360" s="6"/>
    </row>
    <row r="361" spans="4:5" x14ac:dyDescent="0.2">
      <c r="D361" s="6"/>
      <c r="E361" s="6"/>
    </row>
    <row r="362" spans="4:5" x14ac:dyDescent="0.2">
      <c r="D362" s="6"/>
      <c r="E362" s="6"/>
    </row>
    <row r="363" spans="4:5" x14ac:dyDescent="0.2">
      <c r="D363" s="6"/>
      <c r="E363" s="6"/>
    </row>
    <row r="364" spans="4:5" x14ac:dyDescent="0.2">
      <c r="D364" s="6"/>
      <c r="E364" s="6"/>
    </row>
    <row r="365" spans="4:5" x14ac:dyDescent="0.2">
      <c r="D365" s="6"/>
      <c r="E365" s="6"/>
    </row>
    <row r="366" spans="4:5" x14ac:dyDescent="0.2">
      <c r="D366" s="6"/>
      <c r="E366" s="6"/>
    </row>
    <row r="367" spans="4:5" x14ac:dyDescent="0.2">
      <c r="D367" s="6"/>
      <c r="E367" s="6"/>
    </row>
    <row r="368" spans="4:5" x14ac:dyDescent="0.2">
      <c r="D368" s="6"/>
      <c r="E368" s="6"/>
    </row>
    <row r="369" spans="4:5" x14ac:dyDescent="0.2">
      <c r="D369" s="6"/>
      <c r="E369" s="6"/>
    </row>
    <row r="370" spans="4:5" x14ac:dyDescent="0.2">
      <c r="D370" s="6"/>
      <c r="E370" s="6"/>
    </row>
    <row r="371" spans="4:5" x14ac:dyDescent="0.2">
      <c r="D371" s="6"/>
      <c r="E371" s="6"/>
    </row>
    <row r="372" spans="4:5" x14ac:dyDescent="0.2">
      <c r="D372" s="6"/>
      <c r="E372" s="6"/>
    </row>
    <row r="373" spans="4:5" x14ac:dyDescent="0.2">
      <c r="D373" s="6"/>
      <c r="E373" s="6"/>
    </row>
    <row r="374" spans="4:5" x14ac:dyDescent="0.2">
      <c r="D374" s="6"/>
      <c r="E374" s="6"/>
    </row>
    <row r="375" spans="4:5" x14ac:dyDescent="0.2">
      <c r="D375" s="6"/>
      <c r="E375" s="6"/>
    </row>
    <row r="376" spans="4:5" x14ac:dyDescent="0.2">
      <c r="D376" s="6"/>
      <c r="E376" s="6"/>
    </row>
    <row r="377" spans="4:5" x14ac:dyDescent="0.2">
      <c r="D377" s="6"/>
      <c r="E377" s="6"/>
    </row>
    <row r="378" spans="4:5" x14ac:dyDescent="0.2">
      <c r="D378" s="6"/>
      <c r="E378" s="6"/>
    </row>
    <row r="379" spans="4:5" x14ac:dyDescent="0.2">
      <c r="D379" s="6"/>
      <c r="E379" s="6"/>
    </row>
    <row r="380" spans="4:5" x14ac:dyDescent="0.2">
      <c r="D380" s="6"/>
      <c r="E380" s="6"/>
    </row>
    <row r="381" spans="4:5" x14ac:dyDescent="0.2">
      <c r="D381" s="6"/>
      <c r="E381" s="6"/>
    </row>
    <row r="382" spans="4:5" x14ac:dyDescent="0.2">
      <c r="D382" s="6"/>
      <c r="E382" s="6"/>
    </row>
    <row r="383" spans="4:5" x14ac:dyDescent="0.2">
      <c r="D383" s="6"/>
      <c r="E383" s="6"/>
    </row>
    <row r="384" spans="4:5" x14ac:dyDescent="0.2">
      <c r="D384" s="6"/>
      <c r="E384" s="6"/>
    </row>
    <row r="385" spans="4:5" x14ac:dyDescent="0.2">
      <c r="D385" s="6"/>
      <c r="E385" s="6"/>
    </row>
    <row r="386" spans="4:5" x14ac:dyDescent="0.2">
      <c r="D386" s="6"/>
      <c r="E386" s="6"/>
    </row>
    <row r="387" spans="4:5" x14ac:dyDescent="0.2">
      <c r="D387" s="6"/>
      <c r="E387" s="6"/>
    </row>
    <row r="388" spans="4:5" x14ac:dyDescent="0.2">
      <c r="D388" s="6"/>
      <c r="E388" s="6"/>
    </row>
    <row r="389" spans="4:5" x14ac:dyDescent="0.2">
      <c r="D389" s="6"/>
      <c r="E389" s="6"/>
    </row>
    <row r="390" spans="4:5" x14ac:dyDescent="0.2">
      <c r="D390" s="6"/>
      <c r="E390" s="6"/>
    </row>
    <row r="391" spans="4:5" x14ac:dyDescent="0.2">
      <c r="D391" s="6"/>
      <c r="E391" s="6"/>
    </row>
    <row r="392" spans="4:5" x14ac:dyDescent="0.2">
      <c r="D392" s="6"/>
      <c r="E392" s="6"/>
    </row>
    <row r="393" spans="4:5" x14ac:dyDescent="0.2">
      <c r="D393" s="6"/>
      <c r="E393" s="6"/>
    </row>
    <row r="394" spans="4:5" x14ac:dyDescent="0.2">
      <c r="D394" s="6"/>
      <c r="E394" s="6"/>
    </row>
    <row r="395" spans="4:5" x14ac:dyDescent="0.2">
      <c r="D395" s="6"/>
      <c r="E395" s="6"/>
    </row>
    <row r="396" spans="4:5" x14ac:dyDescent="0.2">
      <c r="D396" s="6"/>
      <c r="E396" s="6"/>
    </row>
    <row r="397" spans="4:5" x14ac:dyDescent="0.2">
      <c r="D397" s="6"/>
      <c r="E397" s="6"/>
    </row>
    <row r="398" spans="4:5" x14ac:dyDescent="0.2">
      <c r="D398" s="6"/>
      <c r="E398" s="6"/>
    </row>
    <row r="399" spans="4:5" x14ac:dyDescent="0.2">
      <c r="D399" s="6"/>
      <c r="E399" s="6"/>
    </row>
    <row r="400" spans="4:5" x14ac:dyDescent="0.2">
      <c r="D400" s="6"/>
      <c r="E400" s="6"/>
    </row>
    <row r="401" spans="4:5" x14ac:dyDescent="0.2">
      <c r="D401" s="6"/>
      <c r="E401" s="6"/>
    </row>
    <row r="402" spans="4:5" x14ac:dyDescent="0.2">
      <c r="D402" s="6"/>
      <c r="E402" s="6"/>
    </row>
    <row r="403" spans="4:5" x14ac:dyDescent="0.2">
      <c r="D403" s="6"/>
      <c r="E403" s="6"/>
    </row>
    <row r="404" spans="4:5" x14ac:dyDescent="0.2">
      <c r="D404" s="6"/>
      <c r="E404" s="6"/>
    </row>
    <row r="405" spans="4:5" x14ac:dyDescent="0.2">
      <c r="D405" s="6"/>
      <c r="E405" s="6"/>
    </row>
    <row r="406" spans="4:5" x14ac:dyDescent="0.2">
      <c r="D406" s="6"/>
      <c r="E406" s="6"/>
    </row>
    <row r="407" spans="4:5" x14ac:dyDescent="0.2">
      <c r="D407" s="6"/>
      <c r="E407" s="6"/>
    </row>
    <row r="408" spans="4:5" x14ac:dyDescent="0.2">
      <c r="D408" s="6"/>
      <c r="E408" s="6"/>
    </row>
    <row r="409" spans="4:5" x14ac:dyDescent="0.2">
      <c r="D409" s="6"/>
      <c r="E409" s="6"/>
    </row>
    <row r="410" spans="4:5" x14ac:dyDescent="0.2">
      <c r="D410" s="6"/>
      <c r="E410" s="6"/>
    </row>
    <row r="411" spans="4:5" x14ac:dyDescent="0.2">
      <c r="D411" s="6"/>
      <c r="E411" s="6"/>
    </row>
    <row r="412" spans="4:5" x14ac:dyDescent="0.2">
      <c r="D412" s="6"/>
      <c r="E412" s="6"/>
    </row>
    <row r="413" spans="4:5" x14ac:dyDescent="0.2">
      <c r="D413" s="6"/>
      <c r="E413" s="6"/>
    </row>
    <row r="414" spans="4:5" x14ac:dyDescent="0.2">
      <c r="D414" s="6"/>
      <c r="E414" s="6"/>
    </row>
    <row r="415" spans="4:5" x14ac:dyDescent="0.2">
      <c r="D415" s="6"/>
      <c r="E415" s="6"/>
    </row>
    <row r="416" spans="4:5" x14ac:dyDescent="0.2">
      <c r="D416" s="6"/>
      <c r="E416" s="6"/>
    </row>
    <row r="417" spans="4:5" x14ac:dyDescent="0.2">
      <c r="D417" s="6"/>
      <c r="E417" s="6"/>
    </row>
    <row r="418" spans="4:5" x14ac:dyDescent="0.2">
      <c r="D418" s="6"/>
      <c r="E418" s="6"/>
    </row>
    <row r="419" spans="4:5" x14ac:dyDescent="0.2">
      <c r="D419" s="6"/>
      <c r="E419" s="6"/>
    </row>
    <row r="420" spans="4:5" x14ac:dyDescent="0.2">
      <c r="D420" s="6"/>
      <c r="E420" s="6"/>
    </row>
    <row r="421" spans="4:5" x14ac:dyDescent="0.2">
      <c r="D421" s="6"/>
      <c r="E421" s="6"/>
    </row>
    <row r="422" spans="4:5" x14ac:dyDescent="0.2">
      <c r="D422" s="6"/>
      <c r="E422" s="6"/>
    </row>
    <row r="423" spans="4:5" x14ac:dyDescent="0.2">
      <c r="D423" s="6"/>
      <c r="E423" s="6"/>
    </row>
    <row r="424" spans="4:5" x14ac:dyDescent="0.2">
      <c r="D424" s="6"/>
      <c r="E424" s="6"/>
    </row>
    <row r="425" spans="4:5" x14ac:dyDescent="0.2">
      <c r="D425" s="6"/>
      <c r="E425" s="6"/>
    </row>
    <row r="426" spans="4:5" x14ac:dyDescent="0.2">
      <c r="D426" s="6"/>
      <c r="E426" s="6"/>
    </row>
    <row r="427" spans="4:5" x14ac:dyDescent="0.2">
      <c r="D427" s="6"/>
      <c r="E427" s="6"/>
    </row>
    <row r="428" spans="4:5" x14ac:dyDescent="0.2">
      <c r="D428" s="6"/>
      <c r="E428" s="6"/>
    </row>
    <row r="429" spans="4:5" x14ac:dyDescent="0.2">
      <c r="D429" s="6"/>
      <c r="E429" s="6"/>
    </row>
    <row r="430" spans="4:5" x14ac:dyDescent="0.2">
      <c r="D430" s="6"/>
      <c r="E430" s="6"/>
    </row>
    <row r="431" spans="4:5" x14ac:dyDescent="0.2">
      <c r="D431" s="6"/>
      <c r="E431" s="6"/>
    </row>
    <row r="432" spans="4:5" x14ac:dyDescent="0.2">
      <c r="D432" s="6"/>
      <c r="E432" s="6"/>
    </row>
    <row r="433" spans="4:5" x14ac:dyDescent="0.2">
      <c r="D433" s="6"/>
      <c r="E433" s="6"/>
    </row>
    <row r="434" spans="4:5" x14ac:dyDescent="0.2">
      <c r="D434" s="6"/>
      <c r="E434" s="6"/>
    </row>
    <row r="435" spans="4:5" x14ac:dyDescent="0.2">
      <c r="D435" s="6"/>
      <c r="E435" s="6"/>
    </row>
    <row r="436" spans="4:5" x14ac:dyDescent="0.2">
      <c r="D436" s="6"/>
      <c r="E436" s="6"/>
    </row>
    <row r="437" spans="4:5" x14ac:dyDescent="0.2">
      <c r="D437" s="6"/>
      <c r="E437" s="6"/>
    </row>
    <row r="438" spans="4:5" x14ac:dyDescent="0.2">
      <c r="D438" s="6"/>
      <c r="E438" s="6"/>
    </row>
    <row r="439" spans="4:5" x14ac:dyDescent="0.2">
      <c r="D439" s="6"/>
      <c r="E439" s="6"/>
    </row>
    <row r="440" spans="4:5" x14ac:dyDescent="0.2">
      <c r="D440" s="6"/>
      <c r="E440" s="6"/>
    </row>
    <row r="441" spans="4:5" x14ac:dyDescent="0.2">
      <c r="D441" s="6"/>
      <c r="E441" s="6"/>
    </row>
    <row r="442" spans="4:5" x14ac:dyDescent="0.2">
      <c r="D442" s="6"/>
      <c r="E442" s="6"/>
    </row>
    <row r="443" spans="4:5" x14ac:dyDescent="0.2">
      <c r="D443" s="6"/>
      <c r="E443" s="6"/>
    </row>
    <row r="444" spans="4:5" x14ac:dyDescent="0.2">
      <c r="D444" s="6"/>
      <c r="E444" s="6"/>
    </row>
    <row r="445" spans="4:5" x14ac:dyDescent="0.2">
      <c r="D445" s="6"/>
      <c r="E445" s="6"/>
    </row>
    <row r="446" spans="4:5" x14ac:dyDescent="0.2">
      <c r="D446" s="6"/>
      <c r="E446" s="6"/>
    </row>
    <row r="447" spans="4:5" x14ac:dyDescent="0.2">
      <c r="D447" s="6"/>
      <c r="E447" s="6"/>
    </row>
    <row r="448" spans="4:5" x14ac:dyDescent="0.2">
      <c r="D448" s="6"/>
      <c r="E448" s="6"/>
    </row>
    <row r="449" spans="4:5" x14ac:dyDescent="0.2">
      <c r="D449" s="6"/>
      <c r="E449" s="6"/>
    </row>
    <row r="450" spans="4:5" x14ac:dyDescent="0.2">
      <c r="D450" s="6"/>
      <c r="E450" s="6"/>
    </row>
    <row r="451" spans="4:5" x14ac:dyDescent="0.2">
      <c r="D451" s="6"/>
      <c r="E451" s="6"/>
    </row>
    <row r="452" spans="4:5" x14ac:dyDescent="0.2">
      <c r="D452" s="6"/>
      <c r="E452" s="6"/>
    </row>
    <row r="453" spans="4:5" x14ac:dyDescent="0.2">
      <c r="D453" s="6"/>
      <c r="E453" s="6"/>
    </row>
    <row r="454" spans="4:5" x14ac:dyDescent="0.2">
      <c r="D454" s="6"/>
      <c r="E454" s="6"/>
    </row>
    <row r="455" spans="4:5" x14ac:dyDescent="0.2">
      <c r="D455" s="6"/>
      <c r="E455" s="6"/>
    </row>
    <row r="456" spans="4:5" x14ac:dyDescent="0.2">
      <c r="D456" s="6"/>
      <c r="E456" s="6"/>
    </row>
    <row r="457" spans="4:5" x14ac:dyDescent="0.2">
      <c r="D457" s="6"/>
      <c r="E457" s="6"/>
    </row>
    <row r="458" spans="4:5" x14ac:dyDescent="0.2">
      <c r="D458" s="6"/>
      <c r="E458" s="6"/>
    </row>
    <row r="459" spans="4:5" x14ac:dyDescent="0.2">
      <c r="D459" s="6"/>
      <c r="E459" s="6"/>
    </row>
    <row r="460" spans="4:5" x14ac:dyDescent="0.2">
      <c r="D460" s="6"/>
      <c r="E460" s="6"/>
    </row>
    <row r="461" spans="4:5" x14ac:dyDescent="0.2">
      <c r="D461" s="6"/>
      <c r="E461" s="6"/>
    </row>
    <row r="462" spans="4:5" x14ac:dyDescent="0.2">
      <c r="D462" s="6"/>
      <c r="E462" s="6"/>
    </row>
    <row r="463" spans="4:5" x14ac:dyDescent="0.2">
      <c r="D463" s="6"/>
      <c r="E463" s="6"/>
    </row>
    <row r="464" spans="4:5" x14ac:dyDescent="0.2">
      <c r="D464" s="6"/>
      <c r="E464" s="6"/>
    </row>
    <row r="465" spans="4:5" x14ac:dyDescent="0.2">
      <c r="D465" s="6"/>
      <c r="E465" s="6"/>
    </row>
    <row r="466" spans="4:5" x14ac:dyDescent="0.2">
      <c r="D466" s="6"/>
      <c r="E466" s="6"/>
    </row>
    <row r="467" spans="4:5" x14ac:dyDescent="0.2">
      <c r="D467" s="6"/>
      <c r="E467" s="6"/>
    </row>
    <row r="468" spans="4:5" x14ac:dyDescent="0.2">
      <c r="D468" s="6"/>
      <c r="E468" s="6"/>
    </row>
    <row r="469" spans="4:5" x14ac:dyDescent="0.2">
      <c r="D469" s="6"/>
      <c r="E469" s="6"/>
    </row>
    <row r="470" spans="4:5" x14ac:dyDescent="0.2">
      <c r="D470" s="6"/>
      <c r="E470" s="6"/>
    </row>
    <row r="471" spans="4:5" x14ac:dyDescent="0.2">
      <c r="D471" s="6"/>
      <c r="E471" s="6"/>
    </row>
    <row r="472" spans="4:5" x14ac:dyDescent="0.2">
      <c r="D472" s="6"/>
      <c r="E472" s="6"/>
    </row>
    <row r="473" spans="4:5" x14ac:dyDescent="0.2">
      <c r="D473" s="6"/>
      <c r="E473" s="6"/>
    </row>
    <row r="474" spans="4:5" x14ac:dyDescent="0.2">
      <c r="D474" s="6"/>
      <c r="E474" s="6"/>
    </row>
    <row r="475" spans="4:5" x14ac:dyDescent="0.2">
      <c r="D475" s="6"/>
      <c r="E475" s="6"/>
    </row>
    <row r="476" spans="4:5" x14ac:dyDescent="0.2">
      <c r="D476" s="6"/>
      <c r="E476" s="6"/>
    </row>
    <row r="477" spans="4:5" x14ac:dyDescent="0.2">
      <c r="D477" s="6"/>
      <c r="E477" s="6"/>
    </row>
    <row r="478" spans="4:5" x14ac:dyDescent="0.2">
      <c r="D478" s="6"/>
      <c r="E478" s="6"/>
    </row>
    <row r="479" spans="4:5" x14ac:dyDescent="0.2">
      <c r="D479" s="6"/>
      <c r="E479" s="6"/>
    </row>
    <row r="480" spans="4:5" x14ac:dyDescent="0.2">
      <c r="D480" s="6"/>
      <c r="E480" s="6"/>
    </row>
    <row r="481" spans="4:5" x14ac:dyDescent="0.2">
      <c r="D481" s="6"/>
      <c r="E481" s="6"/>
    </row>
    <row r="482" spans="4:5" x14ac:dyDescent="0.2">
      <c r="D482" s="6"/>
      <c r="E482" s="6"/>
    </row>
    <row r="483" spans="4:5" x14ac:dyDescent="0.2">
      <c r="D483" s="6"/>
      <c r="E483" s="6"/>
    </row>
    <row r="484" spans="4:5" x14ac:dyDescent="0.2">
      <c r="D484" s="6"/>
      <c r="E484" s="6"/>
    </row>
    <row r="485" spans="4:5" x14ac:dyDescent="0.2">
      <c r="D485" s="6"/>
      <c r="E485" s="6"/>
    </row>
    <row r="486" spans="4:5" x14ac:dyDescent="0.2">
      <c r="D486" s="6"/>
      <c r="E486" s="6"/>
    </row>
    <row r="487" spans="4:5" x14ac:dyDescent="0.2">
      <c r="D487" s="6"/>
      <c r="E487" s="6"/>
    </row>
    <row r="488" spans="4:5" x14ac:dyDescent="0.2">
      <c r="D488" s="6"/>
      <c r="E488" s="6"/>
    </row>
    <row r="489" spans="4:5" x14ac:dyDescent="0.2">
      <c r="D489" s="6"/>
      <c r="E489" s="6"/>
    </row>
    <row r="490" spans="4:5" x14ac:dyDescent="0.2">
      <c r="D490" s="6"/>
      <c r="E490" s="6"/>
    </row>
    <row r="491" spans="4:5" x14ac:dyDescent="0.2">
      <c r="D491" s="6"/>
      <c r="E491" s="6"/>
    </row>
    <row r="492" spans="4:5" x14ac:dyDescent="0.2">
      <c r="D492" s="6"/>
      <c r="E492" s="6"/>
    </row>
    <row r="493" spans="4:5" x14ac:dyDescent="0.2">
      <c r="D493" s="6"/>
      <c r="E493" s="6"/>
    </row>
    <row r="494" spans="4:5" x14ac:dyDescent="0.2">
      <c r="D494" s="6"/>
      <c r="E494" s="6"/>
    </row>
    <row r="495" spans="4:5" x14ac:dyDescent="0.2">
      <c r="D495" s="6"/>
      <c r="E495" s="6"/>
    </row>
    <row r="496" spans="4:5" x14ac:dyDescent="0.2">
      <c r="D496" s="6"/>
      <c r="E496" s="6"/>
    </row>
    <row r="497" spans="4:5" x14ac:dyDescent="0.2">
      <c r="D497" s="6"/>
      <c r="E497" s="6"/>
    </row>
    <row r="498" spans="4:5" x14ac:dyDescent="0.2">
      <c r="D498" s="6"/>
      <c r="E498" s="6"/>
    </row>
    <row r="499" spans="4:5" x14ac:dyDescent="0.2">
      <c r="D499" s="6"/>
      <c r="E499" s="6"/>
    </row>
    <row r="500" spans="4:5" x14ac:dyDescent="0.2">
      <c r="D500" s="6"/>
      <c r="E500" s="6"/>
    </row>
    <row r="501" spans="4:5" x14ac:dyDescent="0.2">
      <c r="D501" s="6"/>
      <c r="E501" s="6"/>
    </row>
    <row r="502" spans="4:5" x14ac:dyDescent="0.2">
      <c r="D502" s="6"/>
      <c r="E502" s="6"/>
    </row>
    <row r="503" spans="4:5" x14ac:dyDescent="0.2">
      <c r="D503" s="6"/>
      <c r="E503" s="6"/>
    </row>
    <row r="504" spans="4:5" x14ac:dyDescent="0.2">
      <c r="D504" s="6"/>
      <c r="E504" s="6"/>
    </row>
    <row r="505" spans="4:5" x14ac:dyDescent="0.2">
      <c r="D505" s="6"/>
      <c r="E505" s="6"/>
    </row>
    <row r="506" spans="4:5" x14ac:dyDescent="0.2">
      <c r="D506" s="6"/>
      <c r="E506" s="6"/>
    </row>
    <row r="507" spans="4:5" x14ac:dyDescent="0.2">
      <c r="D507" s="6"/>
      <c r="E507" s="6"/>
    </row>
    <row r="508" spans="4:5" x14ac:dyDescent="0.2">
      <c r="D508" s="6"/>
      <c r="E508" s="6"/>
    </row>
    <row r="509" spans="4:5" x14ac:dyDescent="0.2">
      <c r="D509" s="6"/>
      <c r="E509" s="6"/>
    </row>
    <row r="510" spans="4:5" x14ac:dyDescent="0.2">
      <c r="D510" s="6"/>
      <c r="E510" s="6"/>
    </row>
    <row r="511" spans="4:5" x14ac:dyDescent="0.2">
      <c r="D511" s="6"/>
      <c r="E511" s="6"/>
    </row>
    <row r="512" spans="4:5" x14ac:dyDescent="0.2">
      <c r="D512" s="6"/>
      <c r="E512" s="6"/>
    </row>
    <row r="513" spans="4:5" x14ac:dyDescent="0.2">
      <c r="D513" s="6"/>
      <c r="E513" s="6"/>
    </row>
    <row r="514" spans="4:5" x14ac:dyDescent="0.2">
      <c r="D514" s="6"/>
      <c r="E514" s="6"/>
    </row>
    <row r="515" spans="4:5" x14ac:dyDescent="0.2">
      <c r="D515" s="6"/>
      <c r="E515" s="6"/>
    </row>
    <row r="516" spans="4:5" x14ac:dyDescent="0.2">
      <c r="D516" s="6"/>
      <c r="E516" s="6"/>
    </row>
    <row r="517" spans="4:5" x14ac:dyDescent="0.2">
      <c r="D517" s="6"/>
      <c r="E517" s="6"/>
    </row>
    <row r="518" spans="4:5" x14ac:dyDescent="0.2">
      <c r="D518" s="6"/>
      <c r="E518" s="6"/>
    </row>
    <row r="519" spans="4:5" x14ac:dyDescent="0.2">
      <c r="D519" s="6"/>
      <c r="E519" s="6"/>
    </row>
    <row r="520" spans="4:5" x14ac:dyDescent="0.2">
      <c r="D520" s="6"/>
      <c r="E520" s="6"/>
    </row>
    <row r="521" spans="4:5" x14ac:dyDescent="0.2">
      <c r="D521" s="6"/>
      <c r="E521" s="6"/>
    </row>
    <row r="522" spans="4:5" x14ac:dyDescent="0.2">
      <c r="D522" s="6"/>
      <c r="E522" s="6"/>
    </row>
    <row r="523" spans="4:5" x14ac:dyDescent="0.2">
      <c r="D523" s="6"/>
      <c r="E523" s="6"/>
    </row>
    <row r="524" spans="4:5" x14ac:dyDescent="0.2">
      <c r="D524" s="6"/>
      <c r="E524" s="6"/>
    </row>
    <row r="525" spans="4:5" x14ac:dyDescent="0.2">
      <c r="D525" s="6"/>
      <c r="E525" s="6"/>
    </row>
    <row r="526" spans="4:5" x14ac:dyDescent="0.2">
      <c r="D526" s="6"/>
      <c r="E526" s="6"/>
    </row>
    <row r="527" spans="4:5" x14ac:dyDescent="0.2">
      <c r="D527" s="6"/>
      <c r="E527" s="6"/>
    </row>
    <row r="528" spans="4:5" x14ac:dyDescent="0.2">
      <c r="D528" s="6"/>
      <c r="E528" s="6"/>
    </row>
    <row r="529" spans="4:5" x14ac:dyDescent="0.2">
      <c r="D529" s="6"/>
      <c r="E529" s="6"/>
    </row>
    <row r="530" spans="4:5" x14ac:dyDescent="0.2">
      <c r="D530" s="6"/>
      <c r="E530" s="6"/>
    </row>
    <row r="531" spans="4:5" x14ac:dyDescent="0.2">
      <c r="D531" s="6"/>
      <c r="E531" s="6"/>
    </row>
    <row r="532" spans="4:5" x14ac:dyDescent="0.2">
      <c r="D532" s="6"/>
      <c r="E532" s="6"/>
    </row>
    <row r="533" spans="4:5" x14ac:dyDescent="0.2">
      <c r="D533" s="6"/>
      <c r="E533" s="6"/>
    </row>
    <row r="534" spans="4:5" x14ac:dyDescent="0.2">
      <c r="D534" s="6"/>
      <c r="E534" s="6"/>
    </row>
    <row r="535" spans="4:5" x14ac:dyDescent="0.2">
      <c r="D535" s="6"/>
      <c r="E535" s="6"/>
    </row>
    <row r="536" spans="4:5" x14ac:dyDescent="0.2">
      <c r="D536" s="6"/>
      <c r="E536" s="6"/>
    </row>
    <row r="537" spans="4:5" x14ac:dyDescent="0.2">
      <c r="D537" s="6"/>
      <c r="E537" s="6"/>
    </row>
    <row r="538" spans="4:5" x14ac:dyDescent="0.2">
      <c r="D538" s="6"/>
      <c r="E538" s="6"/>
    </row>
    <row r="539" spans="4:5" x14ac:dyDescent="0.2">
      <c r="D539" s="6"/>
      <c r="E539" s="6"/>
    </row>
    <row r="540" spans="4:5" x14ac:dyDescent="0.2">
      <c r="D540" s="6"/>
      <c r="E540" s="6"/>
    </row>
    <row r="541" spans="4:5" x14ac:dyDescent="0.2">
      <c r="D541" s="6"/>
      <c r="E541" s="6"/>
    </row>
    <row r="542" spans="4:5" x14ac:dyDescent="0.2">
      <c r="D542" s="6"/>
      <c r="E542" s="6"/>
    </row>
    <row r="543" spans="4:5" x14ac:dyDescent="0.2">
      <c r="D543" s="6"/>
      <c r="E543" s="6"/>
    </row>
    <row r="544" spans="4:5" x14ac:dyDescent="0.2">
      <c r="D544" s="6"/>
      <c r="E544" s="6"/>
    </row>
    <row r="545" spans="4:5" x14ac:dyDescent="0.2">
      <c r="D545" s="6"/>
      <c r="E545" s="6"/>
    </row>
    <row r="546" spans="4:5" x14ac:dyDescent="0.2">
      <c r="D546" s="6"/>
      <c r="E546" s="6"/>
    </row>
    <row r="547" spans="4:5" x14ac:dyDescent="0.2">
      <c r="D547" s="6"/>
      <c r="E547" s="6"/>
    </row>
    <row r="548" spans="4:5" x14ac:dyDescent="0.2">
      <c r="D548" s="6"/>
      <c r="E548" s="6"/>
    </row>
    <row r="549" spans="4:5" x14ac:dyDescent="0.2">
      <c r="D549" s="6"/>
      <c r="E549" s="6"/>
    </row>
    <row r="550" spans="4:5" x14ac:dyDescent="0.2">
      <c r="D550" s="6"/>
      <c r="E550" s="6"/>
    </row>
    <row r="551" spans="4:5" x14ac:dyDescent="0.2">
      <c r="D551" s="6"/>
      <c r="E551" s="6"/>
    </row>
    <row r="552" spans="4:5" x14ac:dyDescent="0.2">
      <c r="D552" s="6"/>
      <c r="E552" s="6"/>
    </row>
    <row r="553" spans="4:5" x14ac:dyDescent="0.2">
      <c r="D553" s="6"/>
      <c r="E553" s="6"/>
    </row>
    <row r="554" spans="4:5" x14ac:dyDescent="0.2">
      <c r="D554" s="6"/>
      <c r="E554" s="6"/>
    </row>
    <row r="555" spans="4:5" x14ac:dyDescent="0.2">
      <c r="D555" s="6"/>
      <c r="E555" s="6"/>
    </row>
    <row r="556" spans="4:5" x14ac:dyDescent="0.2">
      <c r="D556" s="6"/>
      <c r="E556" s="6"/>
    </row>
    <row r="557" spans="4:5" x14ac:dyDescent="0.2">
      <c r="D557" s="6"/>
      <c r="E557" s="6"/>
    </row>
    <row r="558" spans="4:5" x14ac:dyDescent="0.2">
      <c r="D558" s="6"/>
      <c r="E558" s="6"/>
    </row>
    <row r="559" spans="4:5" x14ac:dyDescent="0.2">
      <c r="D559" s="6"/>
      <c r="E559" s="6"/>
    </row>
    <row r="560" spans="4:5" x14ac:dyDescent="0.2">
      <c r="D560" s="6"/>
      <c r="E560" s="6"/>
    </row>
    <row r="561" spans="4:5" x14ac:dyDescent="0.2">
      <c r="D561" s="6"/>
      <c r="E561" s="6"/>
    </row>
    <row r="562" spans="4:5" x14ac:dyDescent="0.2">
      <c r="D562" s="6"/>
      <c r="E562" s="6"/>
    </row>
    <row r="563" spans="4:5" x14ac:dyDescent="0.2">
      <c r="D563" s="6"/>
      <c r="E563" s="6"/>
    </row>
    <row r="564" spans="4:5" x14ac:dyDescent="0.2">
      <c r="D564" s="6"/>
      <c r="E564" s="6"/>
    </row>
    <row r="565" spans="4:5" x14ac:dyDescent="0.2">
      <c r="D565" s="6"/>
      <c r="E565" s="6"/>
    </row>
    <row r="566" spans="4:5" x14ac:dyDescent="0.2">
      <c r="D566" s="6"/>
      <c r="E566" s="6"/>
    </row>
    <row r="567" spans="4:5" x14ac:dyDescent="0.2">
      <c r="D567" s="6"/>
      <c r="E567" s="6"/>
    </row>
    <row r="568" spans="4:5" x14ac:dyDescent="0.2">
      <c r="D568" s="6"/>
      <c r="E568" s="6"/>
    </row>
    <row r="569" spans="4:5" x14ac:dyDescent="0.2">
      <c r="D569" s="6"/>
      <c r="E569" s="6"/>
    </row>
    <row r="570" spans="4:5" x14ac:dyDescent="0.2">
      <c r="D570" s="6"/>
      <c r="E570" s="6"/>
    </row>
    <row r="571" spans="4:5" x14ac:dyDescent="0.2">
      <c r="D571" s="6"/>
      <c r="E571" s="6"/>
    </row>
    <row r="572" spans="4:5" x14ac:dyDescent="0.2">
      <c r="D572" s="6"/>
      <c r="E572" s="6"/>
    </row>
    <row r="573" spans="4:5" x14ac:dyDescent="0.2">
      <c r="D573" s="6"/>
      <c r="E573" s="6"/>
    </row>
    <row r="574" spans="4:5" x14ac:dyDescent="0.2">
      <c r="D574" s="6"/>
      <c r="E574" s="6"/>
    </row>
    <row r="575" spans="4:5" x14ac:dyDescent="0.2">
      <c r="D575" s="6"/>
      <c r="E575" s="6"/>
    </row>
    <row r="576" spans="4:5" x14ac:dyDescent="0.2">
      <c r="D576" s="6"/>
      <c r="E576" s="6"/>
    </row>
    <row r="577" spans="4:5" x14ac:dyDescent="0.2">
      <c r="D577" s="6"/>
      <c r="E577" s="6"/>
    </row>
    <row r="578" spans="4:5" x14ac:dyDescent="0.2">
      <c r="D578" s="6"/>
      <c r="E578" s="6"/>
    </row>
    <row r="579" spans="4:5" x14ac:dyDescent="0.2">
      <c r="D579" s="6"/>
      <c r="E579" s="6"/>
    </row>
    <row r="580" spans="4:5" x14ac:dyDescent="0.2">
      <c r="D580" s="6"/>
      <c r="E580" s="6"/>
    </row>
    <row r="581" spans="4:5" x14ac:dyDescent="0.2">
      <c r="D581" s="6"/>
      <c r="E581" s="6"/>
    </row>
    <row r="582" spans="4:5" x14ac:dyDescent="0.2">
      <c r="D582" s="6"/>
      <c r="E582" s="6"/>
    </row>
    <row r="583" spans="4:5" x14ac:dyDescent="0.2">
      <c r="D583" s="6"/>
      <c r="E583" s="6"/>
    </row>
    <row r="584" spans="4:5" x14ac:dyDescent="0.2">
      <c r="D584" s="6"/>
      <c r="E584" s="6"/>
    </row>
    <row r="585" spans="4:5" x14ac:dyDescent="0.2">
      <c r="D585" s="6"/>
      <c r="E585" s="6"/>
    </row>
    <row r="586" spans="4:5" x14ac:dyDescent="0.2">
      <c r="D586" s="6"/>
      <c r="E586" s="6"/>
    </row>
    <row r="587" spans="4:5" x14ac:dyDescent="0.2">
      <c r="D587" s="6"/>
      <c r="E587" s="6"/>
    </row>
    <row r="588" spans="4:5" x14ac:dyDescent="0.2">
      <c r="D588" s="6"/>
      <c r="E588" s="6"/>
    </row>
    <row r="589" spans="4:5" x14ac:dyDescent="0.2">
      <c r="D589" s="6"/>
      <c r="E589" s="6"/>
    </row>
    <row r="590" spans="4:5" x14ac:dyDescent="0.2">
      <c r="D590" s="6"/>
      <c r="E590" s="6"/>
    </row>
    <row r="591" spans="4:5" x14ac:dyDescent="0.2">
      <c r="D591" s="6"/>
      <c r="E591" s="6"/>
    </row>
    <row r="592" spans="4:5" x14ac:dyDescent="0.2">
      <c r="D592" s="6"/>
      <c r="E592" s="6"/>
    </row>
    <row r="593" spans="4:5" x14ac:dyDescent="0.2">
      <c r="D593" s="6"/>
      <c r="E593" s="6"/>
    </row>
    <row r="594" spans="4:5" x14ac:dyDescent="0.2">
      <c r="D594" s="6"/>
      <c r="E594" s="6"/>
    </row>
    <row r="595" spans="4:5" x14ac:dyDescent="0.2">
      <c r="D595" s="6"/>
      <c r="E595" s="6"/>
    </row>
    <row r="596" spans="4:5" x14ac:dyDescent="0.2">
      <c r="D596" s="6"/>
      <c r="E596" s="6"/>
    </row>
    <row r="597" spans="4:5" x14ac:dyDescent="0.2">
      <c r="D597" s="6"/>
      <c r="E597" s="6"/>
    </row>
    <row r="598" spans="4:5" x14ac:dyDescent="0.2">
      <c r="D598" s="6"/>
      <c r="E598" s="6"/>
    </row>
    <row r="599" spans="4:5" x14ac:dyDescent="0.2">
      <c r="D599" s="6"/>
      <c r="E599" s="6"/>
    </row>
    <row r="600" spans="4:5" x14ac:dyDescent="0.2">
      <c r="D600" s="6"/>
      <c r="E600" s="6"/>
    </row>
    <row r="601" spans="4:5" x14ac:dyDescent="0.2">
      <c r="D601" s="6"/>
      <c r="E601" s="6"/>
    </row>
    <row r="602" spans="4:5" x14ac:dyDescent="0.2">
      <c r="D602" s="6"/>
      <c r="E602" s="6"/>
    </row>
    <row r="603" spans="4:5" x14ac:dyDescent="0.2">
      <c r="D603" s="6"/>
      <c r="E603" s="6"/>
    </row>
    <row r="604" spans="4:5" x14ac:dyDescent="0.2">
      <c r="D604" s="6"/>
      <c r="E604" s="6"/>
    </row>
    <row r="605" spans="4:5" x14ac:dyDescent="0.2">
      <c r="D605" s="6"/>
      <c r="E605" s="6"/>
    </row>
    <row r="606" spans="4:5" x14ac:dyDescent="0.2">
      <c r="D606" s="6"/>
      <c r="E606" s="6"/>
    </row>
    <row r="607" spans="4:5" x14ac:dyDescent="0.2">
      <c r="D607" s="6"/>
      <c r="E607" s="6"/>
    </row>
    <row r="608" spans="4:5" x14ac:dyDescent="0.2">
      <c r="D608" s="6"/>
      <c r="E608" s="6"/>
    </row>
    <row r="609" spans="4:5" x14ac:dyDescent="0.2">
      <c r="D609" s="6"/>
      <c r="E609" s="6"/>
    </row>
    <row r="610" spans="4:5" x14ac:dyDescent="0.2">
      <c r="D610" s="6"/>
      <c r="E610" s="6"/>
    </row>
    <row r="611" spans="4:5" x14ac:dyDescent="0.2">
      <c r="D611" s="6"/>
      <c r="E611" s="6"/>
    </row>
    <row r="612" spans="4:5" x14ac:dyDescent="0.2">
      <c r="D612" s="6"/>
      <c r="E612" s="6"/>
    </row>
    <row r="613" spans="4:5" x14ac:dyDescent="0.2">
      <c r="D613" s="6"/>
      <c r="E613" s="6"/>
    </row>
    <row r="614" spans="4:5" x14ac:dyDescent="0.2">
      <c r="D614" s="6"/>
      <c r="E614" s="6"/>
    </row>
    <row r="615" spans="4:5" x14ac:dyDescent="0.2">
      <c r="D615" s="6"/>
      <c r="E615" s="6"/>
    </row>
    <row r="616" spans="4:5" x14ac:dyDescent="0.2">
      <c r="D616" s="6"/>
      <c r="E616" s="6"/>
    </row>
    <row r="617" spans="4:5" x14ac:dyDescent="0.2">
      <c r="D617" s="6"/>
      <c r="E617" s="6"/>
    </row>
    <row r="618" spans="4:5" x14ac:dyDescent="0.2">
      <c r="D618" s="6"/>
      <c r="E618" s="6"/>
    </row>
    <row r="619" spans="4:5" x14ac:dyDescent="0.2">
      <c r="D619" s="6"/>
      <c r="E619" s="6"/>
    </row>
    <row r="620" spans="4:5" x14ac:dyDescent="0.2">
      <c r="D620" s="6"/>
      <c r="E620" s="6"/>
    </row>
    <row r="621" spans="4:5" x14ac:dyDescent="0.2">
      <c r="D621" s="6"/>
      <c r="E621" s="6"/>
    </row>
    <row r="622" spans="4:5" x14ac:dyDescent="0.2">
      <c r="D622" s="6"/>
      <c r="E622" s="6"/>
    </row>
    <row r="623" spans="4:5" x14ac:dyDescent="0.2">
      <c r="D623" s="6"/>
      <c r="E623" s="6"/>
    </row>
    <row r="624" spans="4:5" x14ac:dyDescent="0.2">
      <c r="D624" s="6"/>
      <c r="E624" s="6"/>
    </row>
    <row r="625" spans="4:5" x14ac:dyDescent="0.2">
      <c r="D625" s="6"/>
      <c r="E625" s="6"/>
    </row>
    <row r="626" spans="4:5" x14ac:dyDescent="0.2">
      <c r="D626" s="6"/>
      <c r="E626" s="6"/>
    </row>
    <row r="627" spans="4:5" x14ac:dyDescent="0.2">
      <c r="D627" s="6"/>
      <c r="E627" s="6"/>
    </row>
    <row r="628" spans="4:5" x14ac:dyDescent="0.2">
      <c r="D628" s="6"/>
      <c r="E628" s="6"/>
    </row>
    <row r="629" spans="4:5" x14ac:dyDescent="0.2">
      <c r="D629" s="6"/>
      <c r="E629" s="6"/>
    </row>
    <row r="630" spans="4:5" x14ac:dyDescent="0.2">
      <c r="D630" s="6"/>
      <c r="E630" s="6"/>
    </row>
    <row r="631" spans="4:5" x14ac:dyDescent="0.2">
      <c r="D631" s="6"/>
      <c r="E631" s="6"/>
    </row>
    <row r="632" spans="4:5" x14ac:dyDescent="0.2">
      <c r="D632" s="6"/>
      <c r="E632" s="6"/>
    </row>
    <row r="633" spans="4:5" x14ac:dyDescent="0.2">
      <c r="D633" s="6"/>
      <c r="E633" s="6"/>
    </row>
    <row r="634" spans="4:5" x14ac:dyDescent="0.2">
      <c r="D634" s="6"/>
      <c r="E634" s="6"/>
    </row>
    <row r="635" spans="4:5" x14ac:dyDescent="0.2">
      <c r="D635" s="6"/>
      <c r="E635" s="6"/>
    </row>
    <row r="636" spans="4:5" x14ac:dyDescent="0.2">
      <c r="D636" s="6"/>
      <c r="E636" s="6"/>
    </row>
    <row r="637" spans="4:5" x14ac:dyDescent="0.2">
      <c r="D637" s="6"/>
      <c r="E637" s="6"/>
    </row>
    <row r="638" spans="4:5" x14ac:dyDescent="0.2">
      <c r="D638" s="6"/>
      <c r="E638" s="6"/>
    </row>
    <row r="639" spans="4:5" x14ac:dyDescent="0.2">
      <c r="D639" s="6"/>
      <c r="E639" s="6"/>
    </row>
    <row r="640" spans="4:5" x14ac:dyDescent="0.2">
      <c r="D640" s="6"/>
      <c r="E640" s="6"/>
    </row>
    <row r="641" spans="4:5" x14ac:dyDescent="0.2">
      <c r="D641" s="6"/>
      <c r="E641" s="6"/>
    </row>
    <row r="642" spans="4:5" x14ac:dyDescent="0.2">
      <c r="D642" s="6"/>
      <c r="E642" s="6"/>
    </row>
    <row r="643" spans="4:5" x14ac:dyDescent="0.2">
      <c r="D643" s="6"/>
      <c r="E643" s="6"/>
    </row>
    <row r="644" spans="4:5" x14ac:dyDescent="0.2">
      <c r="D644" s="6"/>
      <c r="E644" s="6"/>
    </row>
    <row r="645" spans="4:5" x14ac:dyDescent="0.2">
      <c r="D645" s="6"/>
      <c r="E645" s="6"/>
    </row>
    <row r="646" spans="4:5" x14ac:dyDescent="0.2">
      <c r="D646" s="6"/>
      <c r="E646" s="6"/>
    </row>
    <row r="647" spans="4:5" x14ac:dyDescent="0.2">
      <c r="D647" s="6"/>
      <c r="E647" s="6"/>
    </row>
    <row r="648" spans="4:5" x14ac:dyDescent="0.2">
      <c r="D648" s="6"/>
      <c r="E648" s="6"/>
    </row>
    <row r="649" spans="4:5" x14ac:dyDescent="0.2">
      <c r="D649" s="6"/>
      <c r="E649" s="6"/>
    </row>
    <row r="650" spans="4:5" x14ac:dyDescent="0.2">
      <c r="D650" s="6"/>
      <c r="E650" s="6"/>
    </row>
    <row r="651" spans="4:5" x14ac:dyDescent="0.2">
      <c r="D651" s="6"/>
      <c r="E651" s="6"/>
    </row>
    <row r="652" spans="4:5" x14ac:dyDescent="0.2">
      <c r="D652" s="6"/>
      <c r="E652" s="6"/>
    </row>
    <row r="653" spans="4:5" x14ac:dyDescent="0.2">
      <c r="D653" s="6"/>
      <c r="E653" s="6"/>
    </row>
    <row r="654" spans="4:5" x14ac:dyDescent="0.2">
      <c r="D654" s="6"/>
      <c r="E654" s="6"/>
    </row>
    <row r="655" spans="4:5" x14ac:dyDescent="0.2">
      <c r="D655" s="6"/>
      <c r="E655" s="6"/>
    </row>
    <row r="656" spans="4:5" x14ac:dyDescent="0.2">
      <c r="D656" s="6"/>
      <c r="E656" s="6"/>
    </row>
    <row r="657" spans="4:5" x14ac:dyDescent="0.2">
      <c r="D657" s="6"/>
      <c r="E657" s="6"/>
    </row>
    <row r="658" spans="4:5" x14ac:dyDescent="0.2">
      <c r="D658" s="6"/>
      <c r="E658" s="6"/>
    </row>
    <row r="659" spans="4:5" x14ac:dyDescent="0.2">
      <c r="D659" s="6"/>
      <c r="E659" s="6"/>
    </row>
    <row r="660" spans="4:5" x14ac:dyDescent="0.2">
      <c r="D660" s="6"/>
      <c r="E660" s="6"/>
    </row>
    <row r="661" spans="4:5" x14ac:dyDescent="0.2">
      <c r="D661" s="6"/>
      <c r="E661" s="6"/>
    </row>
    <row r="662" spans="4:5" x14ac:dyDescent="0.2">
      <c r="D662" s="6"/>
      <c r="E662" s="6"/>
    </row>
    <row r="663" spans="4:5" x14ac:dyDescent="0.2">
      <c r="D663" s="6"/>
      <c r="E663" s="6"/>
    </row>
    <row r="664" spans="4:5" x14ac:dyDescent="0.2">
      <c r="D664" s="6"/>
      <c r="E664" s="6"/>
    </row>
    <row r="665" spans="4:5" x14ac:dyDescent="0.2">
      <c r="D665" s="6"/>
      <c r="E665" s="6"/>
    </row>
    <row r="666" spans="4:5" x14ac:dyDescent="0.2">
      <c r="D666" s="6"/>
      <c r="E666" s="6"/>
    </row>
    <row r="667" spans="4:5" x14ac:dyDescent="0.2">
      <c r="D667" s="6"/>
      <c r="E667" s="6"/>
    </row>
    <row r="668" spans="4:5" x14ac:dyDescent="0.2">
      <c r="D668" s="6"/>
      <c r="E668" s="6"/>
    </row>
    <row r="669" spans="4:5" x14ac:dyDescent="0.2">
      <c r="D669" s="6"/>
      <c r="E669" s="6"/>
    </row>
    <row r="670" spans="4:5" x14ac:dyDescent="0.2">
      <c r="D670" s="6"/>
      <c r="E670" s="6"/>
    </row>
    <row r="671" spans="4:5" x14ac:dyDescent="0.2">
      <c r="D671" s="6"/>
      <c r="E671" s="6"/>
    </row>
    <row r="672" spans="4:5" x14ac:dyDescent="0.2">
      <c r="D672" s="6"/>
      <c r="E672" s="6"/>
    </row>
    <row r="673" spans="4:5" x14ac:dyDescent="0.2">
      <c r="D673" s="6"/>
      <c r="E673" s="6"/>
    </row>
    <row r="674" spans="4:5" x14ac:dyDescent="0.2">
      <c r="D674" s="6"/>
      <c r="E674" s="6"/>
    </row>
    <row r="675" spans="4:5" x14ac:dyDescent="0.2">
      <c r="D675" s="6"/>
      <c r="E675" s="6"/>
    </row>
    <row r="676" spans="4:5" x14ac:dyDescent="0.2">
      <c r="D676" s="6"/>
      <c r="E676" s="6"/>
    </row>
    <row r="677" spans="4:5" x14ac:dyDescent="0.2">
      <c r="D677" s="6"/>
      <c r="E677" s="6"/>
    </row>
    <row r="678" spans="4:5" x14ac:dyDescent="0.2">
      <c r="D678" s="6"/>
      <c r="E678" s="6"/>
    </row>
    <row r="679" spans="4:5" x14ac:dyDescent="0.2">
      <c r="D679" s="6"/>
      <c r="E679" s="6"/>
    </row>
    <row r="680" spans="4:5" x14ac:dyDescent="0.2">
      <c r="D680" s="6"/>
      <c r="E680" s="6"/>
    </row>
    <row r="681" spans="4:5" x14ac:dyDescent="0.2">
      <c r="D681" s="6"/>
      <c r="E681" s="6"/>
    </row>
    <row r="682" spans="4:5" x14ac:dyDescent="0.2">
      <c r="D682" s="6"/>
      <c r="E682" s="6"/>
    </row>
    <row r="683" spans="4:5" x14ac:dyDescent="0.2">
      <c r="D683" s="6"/>
      <c r="E683" s="6"/>
    </row>
    <row r="684" spans="4:5" x14ac:dyDescent="0.2">
      <c r="D684" s="6"/>
      <c r="E684" s="6"/>
    </row>
    <row r="685" spans="4:5" x14ac:dyDescent="0.2">
      <c r="D685" s="6"/>
      <c r="E685" s="6"/>
    </row>
    <row r="686" spans="4:5" x14ac:dyDescent="0.2">
      <c r="D686" s="6"/>
      <c r="E686" s="6"/>
    </row>
    <row r="687" spans="4:5" x14ac:dyDescent="0.2">
      <c r="D687" s="6"/>
      <c r="E687" s="6"/>
    </row>
    <row r="688" spans="4:5" x14ac:dyDescent="0.2">
      <c r="D688" s="6"/>
      <c r="E688" s="6"/>
    </row>
    <row r="689" spans="4:5" x14ac:dyDescent="0.2">
      <c r="D689" s="6"/>
      <c r="E689" s="6"/>
    </row>
    <row r="690" spans="4:5" x14ac:dyDescent="0.2">
      <c r="D690" s="6"/>
      <c r="E690" s="6"/>
    </row>
    <row r="691" spans="4:5" x14ac:dyDescent="0.2">
      <c r="D691" s="6"/>
      <c r="E691" s="6"/>
    </row>
    <row r="692" spans="4:5" x14ac:dyDescent="0.2">
      <c r="D692" s="6"/>
      <c r="E692" s="6"/>
    </row>
    <row r="693" spans="4:5" x14ac:dyDescent="0.2">
      <c r="D693" s="6"/>
      <c r="E693" s="6"/>
    </row>
    <row r="694" spans="4:5" x14ac:dyDescent="0.2">
      <c r="D694" s="6"/>
      <c r="E694" s="6"/>
    </row>
    <row r="695" spans="4:5" x14ac:dyDescent="0.2">
      <c r="D695" s="6"/>
      <c r="E695" s="6"/>
    </row>
    <row r="696" spans="4:5" x14ac:dyDescent="0.2">
      <c r="D696" s="6"/>
      <c r="E696" s="6"/>
    </row>
    <row r="697" spans="4:5" x14ac:dyDescent="0.2">
      <c r="D697" s="6"/>
      <c r="E697" s="6"/>
    </row>
    <row r="698" spans="4:5" x14ac:dyDescent="0.2">
      <c r="D698" s="6"/>
      <c r="E698" s="6"/>
    </row>
    <row r="699" spans="4:5" x14ac:dyDescent="0.2">
      <c r="D699" s="6"/>
      <c r="E699" s="6"/>
    </row>
    <row r="700" spans="4:5" x14ac:dyDescent="0.2">
      <c r="D700" s="6"/>
      <c r="E700" s="6"/>
    </row>
    <row r="701" spans="4:5" x14ac:dyDescent="0.2">
      <c r="D701" s="6"/>
      <c r="E701" s="6"/>
    </row>
    <row r="702" spans="4:5" x14ac:dyDescent="0.2">
      <c r="D702" s="6"/>
      <c r="E702" s="6"/>
    </row>
    <row r="703" spans="4:5" x14ac:dyDescent="0.2">
      <c r="D703" s="6"/>
      <c r="E703" s="6"/>
    </row>
    <row r="704" spans="4:5" x14ac:dyDescent="0.2">
      <c r="D704" s="6"/>
      <c r="E704" s="6"/>
    </row>
    <row r="705" spans="4:5" x14ac:dyDescent="0.2">
      <c r="D705" s="6"/>
      <c r="E705" s="6"/>
    </row>
    <row r="706" spans="4:5" x14ac:dyDescent="0.2">
      <c r="D706" s="6"/>
      <c r="E706" s="6"/>
    </row>
    <row r="707" spans="4:5" x14ac:dyDescent="0.2">
      <c r="D707" s="6"/>
      <c r="E707" s="6"/>
    </row>
    <row r="708" spans="4:5" x14ac:dyDescent="0.2">
      <c r="D708" s="6"/>
      <c r="E708" s="6"/>
    </row>
    <row r="709" spans="4:5" x14ac:dyDescent="0.2">
      <c r="D709" s="6"/>
      <c r="E709" s="6"/>
    </row>
    <row r="710" spans="4:5" x14ac:dyDescent="0.2">
      <c r="D710" s="6"/>
      <c r="E710" s="6"/>
    </row>
    <row r="711" spans="4:5" x14ac:dyDescent="0.2">
      <c r="D711" s="6"/>
      <c r="E711" s="6"/>
    </row>
    <row r="712" spans="4:5" x14ac:dyDescent="0.2">
      <c r="D712" s="6"/>
      <c r="E712" s="6"/>
    </row>
    <row r="713" spans="4:5" x14ac:dyDescent="0.2">
      <c r="D713" s="6"/>
      <c r="E713" s="6"/>
    </row>
    <row r="714" spans="4:5" x14ac:dyDescent="0.2">
      <c r="D714" s="6"/>
      <c r="E714" s="6"/>
    </row>
    <row r="715" spans="4:5" x14ac:dyDescent="0.2">
      <c r="D715" s="6"/>
      <c r="E715" s="6"/>
    </row>
    <row r="716" spans="4:5" x14ac:dyDescent="0.2">
      <c r="D716" s="6"/>
      <c r="E716" s="6"/>
    </row>
    <row r="717" spans="4:5" x14ac:dyDescent="0.2">
      <c r="D717" s="6"/>
      <c r="E717" s="6"/>
    </row>
    <row r="718" spans="4:5" x14ac:dyDescent="0.2">
      <c r="D718" s="6"/>
      <c r="E718" s="6"/>
    </row>
    <row r="719" spans="4:5" x14ac:dyDescent="0.2">
      <c r="D719" s="6"/>
      <c r="E719" s="6"/>
    </row>
    <row r="720" spans="4:5" x14ac:dyDescent="0.2">
      <c r="D720" s="6"/>
      <c r="E720" s="6"/>
    </row>
    <row r="721" spans="4:5" x14ac:dyDescent="0.2">
      <c r="D721" s="6"/>
      <c r="E721" s="6"/>
    </row>
    <row r="722" spans="4:5" x14ac:dyDescent="0.2">
      <c r="D722" s="6"/>
      <c r="E722" s="6"/>
    </row>
    <row r="723" spans="4:5" x14ac:dyDescent="0.2">
      <c r="D723" s="6"/>
      <c r="E723" s="6"/>
    </row>
    <row r="724" spans="4:5" x14ac:dyDescent="0.2">
      <c r="D724" s="6"/>
      <c r="E724" s="6"/>
    </row>
    <row r="725" spans="4:5" x14ac:dyDescent="0.2">
      <c r="D725" s="6"/>
      <c r="E725" s="6"/>
    </row>
    <row r="726" spans="4:5" x14ac:dyDescent="0.2">
      <c r="D726" s="6"/>
      <c r="E726" s="6"/>
    </row>
    <row r="727" spans="4:5" x14ac:dyDescent="0.2">
      <c r="D727" s="6"/>
      <c r="E727" s="6"/>
    </row>
    <row r="728" spans="4:5" x14ac:dyDescent="0.2">
      <c r="D728" s="6"/>
      <c r="E728" s="6"/>
    </row>
    <row r="729" spans="4:5" x14ac:dyDescent="0.2">
      <c r="D729" s="6"/>
      <c r="E729" s="6"/>
    </row>
    <row r="730" spans="4:5" x14ac:dyDescent="0.2">
      <c r="D730" s="6"/>
      <c r="E730" s="6"/>
    </row>
    <row r="731" spans="4:5" x14ac:dyDescent="0.2">
      <c r="D731" s="6"/>
      <c r="E731" s="6"/>
    </row>
    <row r="732" spans="4:5" x14ac:dyDescent="0.2">
      <c r="D732" s="6"/>
      <c r="E732" s="6"/>
    </row>
    <row r="733" spans="4:5" x14ac:dyDescent="0.2">
      <c r="D733" s="6"/>
      <c r="E733" s="6"/>
    </row>
    <row r="734" spans="4:5" x14ac:dyDescent="0.2">
      <c r="D734" s="6"/>
      <c r="E734" s="6"/>
    </row>
    <row r="735" spans="4:5" x14ac:dyDescent="0.2">
      <c r="D735" s="6"/>
      <c r="E735" s="6"/>
    </row>
    <row r="736" spans="4:5" x14ac:dyDescent="0.2">
      <c r="D736" s="6"/>
      <c r="E736" s="6"/>
    </row>
    <row r="737" spans="4:5" x14ac:dyDescent="0.2">
      <c r="D737" s="6"/>
      <c r="E737" s="6"/>
    </row>
    <row r="738" spans="4:5" x14ac:dyDescent="0.2">
      <c r="D738" s="6"/>
      <c r="E738" s="6"/>
    </row>
    <row r="739" spans="4:5" x14ac:dyDescent="0.2">
      <c r="D739" s="6"/>
      <c r="E739" s="6"/>
    </row>
    <row r="740" spans="4:5" x14ac:dyDescent="0.2">
      <c r="D740" s="6"/>
      <c r="E740" s="6"/>
    </row>
    <row r="741" spans="4:5" x14ac:dyDescent="0.2">
      <c r="D741" s="6"/>
      <c r="E741" s="6"/>
    </row>
    <row r="742" spans="4:5" x14ac:dyDescent="0.2">
      <c r="D742" s="6"/>
      <c r="E742" s="6"/>
    </row>
    <row r="743" spans="4:5" x14ac:dyDescent="0.2">
      <c r="D743" s="6"/>
      <c r="E743" s="6"/>
    </row>
    <row r="744" spans="4:5" x14ac:dyDescent="0.2">
      <c r="D744" s="6"/>
      <c r="E744" s="6"/>
    </row>
    <row r="745" spans="4:5" x14ac:dyDescent="0.2">
      <c r="D745" s="6"/>
      <c r="E745" s="6"/>
    </row>
    <row r="746" spans="4:5" x14ac:dyDescent="0.2">
      <c r="D746" s="6"/>
      <c r="E746" s="6"/>
    </row>
    <row r="747" spans="4:5" x14ac:dyDescent="0.2">
      <c r="D747" s="6"/>
      <c r="E747" s="6"/>
    </row>
    <row r="748" spans="4:5" x14ac:dyDescent="0.2">
      <c r="D748" s="6"/>
      <c r="E748" s="6"/>
    </row>
    <row r="749" spans="4:5" x14ac:dyDescent="0.2">
      <c r="D749" s="6"/>
      <c r="E749" s="6"/>
    </row>
    <row r="750" spans="4:5" x14ac:dyDescent="0.2">
      <c r="D750" s="6"/>
      <c r="E750" s="6"/>
    </row>
    <row r="751" spans="4:5" x14ac:dyDescent="0.2">
      <c r="D751" s="6"/>
      <c r="E751" s="6"/>
    </row>
    <row r="752" spans="4:5" x14ac:dyDescent="0.2">
      <c r="D752" s="6"/>
      <c r="E752" s="6"/>
    </row>
    <row r="753" spans="4:5" x14ac:dyDescent="0.2">
      <c r="D753" s="6"/>
      <c r="E753" s="6"/>
    </row>
    <row r="754" spans="4:5" x14ac:dyDescent="0.2">
      <c r="D754" s="6"/>
      <c r="E754" s="6"/>
    </row>
    <row r="755" spans="4:5" x14ac:dyDescent="0.2">
      <c r="D755" s="6"/>
      <c r="E755" s="6"/>
    </row>
    <row r="756" spans="4:5" x14ac:dyDescent="0.2">
      <c r="D756" s="6"/>
      <c r="E756" s="6"/>
    </row>
    <row r="757" spans="4:5" x14ac:dyDescent="0.2">
      <c r="D757" s="6"/>
      <c r="E757" s="6"/>
    </row>
    <row r="758" spans="4:5" x14ac:dyDescent="0.2">
      <c r="D758" s="6"/>
      <c r="E758" s="6"/>
    </row>
    <row r="759" spans="4:5" x14ac:dyDescent="0.2">
      <c r="D759" s="6"/>
      <c r="E759" s="6"/>
    </row>
    <row r="760" spans="4:5" x14ac:dyDescent="0.2">
      <c r="D760" s="6"/>
      <c r="E760" s="6"/>
    </row>
    <row r="761" spans="4:5" x14ac:dyDescent="0.2">
      <c r="D761" s="6"/>
      <c r="E761" s="6"/>
    </row>
    <row r="762" spans="4:5" x14ac:dyDescent="0.2">
      <c r="D762" s="6"/>
      <c r="E762" s="6"/>
    </row>
    <row r="763" spans="4:5" x14ac:dyDescent="0.2">
      <c r="D763" s="6"/>
      <c r="E763" s="6"/>
    </row>
    <row r="764" spans="4:5" x14ac:dyDescent="0.2">
      <c r="D764" s="6"/>
      <c r="E764" s="6"/>
    </row>
    <row r="765" spans="4:5" x14ac:dyDescent="0.2">
      <c r="D765" s="6"/>
      <c r="E765" s="6"/>
    </row>
    <row r="766" spans="4:5" x14ac:dyDescent="0.2">
      <c r="D766" s="6"/>
      <c r="E766" s="6"/>
    </row>
    <row r="767" spans="4:5" x14ac:dyDescent="0.2">
      <c r="D767" s="6"/>
      <c r="E767" s="6"/>
    </row>
    <row r="768" spans="4:5" x14ac:dyDescent="0.2">
      <c r="D768" s="6"/>
      <c r="E768" s="6"/>
    </row>
    <row r="769" spans="4:5" x14ac:dyDescent="0.2">
      <c r="D769" s="6"/>
      <c r="E769" s="6"/>
    </row>
    <row r="770" spans="4:5" x14ac:dyDescent="0.2">
      <c r="D770" s="6"/>
      <c r="E770" s="6"/>
    </row>
    <row r="771" spans="4:5" x14ac:dyDescent="0.2">
      <c r="D771" s="6"/>
      <c r="E771" s="6"/>
    </row>
    <row r="772" spans="4:5" x14ac:dyDescent="0.2">
      <c r="D772" s="6"/>
      <c r="E772" s="6"/>
    </row>
    <row r="773" spans="4:5" x14ac:dyDescent="0.2">
      <c r="D773" s="6"/>
      <c r="E773" s="6"/>
    </row>
    <row r="774" spans="4:5" x14ac:dyDescent="0.2">
      <c r="D774" s="6"/>
      <c r="E774" s="6"/>
    </row>
    <row r="775" spans="4:5" x14ac:dyDescent="0.2">
      <c r="D775" s="6"/>
      <c r="E775" s="6"/>
    </row>
    <row r="776" spans="4:5" x14ac:dyDescent="0.2">
      <c r="D776" s="6"/>
      <c r="E776" s="6"/>
    </row>
    <row r="777" spans="4:5" x14ac:dyDescent="0.2">
      <c r="D777" s="6"/>
      <c r="E777" s="6"/>
    </row>
    <row r="778" spans="4:5" x14ac:dyDescent="0.2">
      <c r="D778" s="6"/>
      <c r="E778" s="6"/>
    </row>
    <row r="779" spans="4:5" x14ac:dyDescent="0.2">
      <c r="D779" s="6"/>
      <c r="E779" s="6"/>
    </row>
    <row r="780" spans="4:5" x14ac:dyDescent="0.2">
      <c r="D780" s="6"/>
      <c r="E780" s="6"/>
    </row>
    <row r="781" spans="4:5" x14ac:dyDescent="0.2">
      <c r="D781" s="6"/>
      <c r="E781" s="6"/>
    </row>
    <row r="782" spans="4:5" x14ac:dyDescent="0.2">
      <c r="D782" s="6"/>
      <c r="E782" s="6"/>
    </row>
    <row r="783" spans="4:5" x14ac:dyDescent="0.2">
      <c r="D783" s="6"/>
      <c r="E783" s="6"/>
    </row>
    <row r="784" spans="4:5" x14ac:dyDescent="0.2">
      <c r="D784" s="6"/>
      <c r="E784" s="6"/>
    </row>
    <row r="785" spans="4:5" x14ac:dyDescent="0.2">
      <c r="D785" s="6"/>
      <c r="E785" s="6"/>
    </row>
    <row r="786" spans="4:5" x14ac:dyDescent="0.2">
      <c r="D786" s="6"/>
      <c r="E786" s="6"/>
    </row>
    <row r="787" spans="4:5" x14ac:dyDescent="0.2">
      <c r="D787" s="6"/>
      <c r="E787" s="6"/>
    </row>
    <row r="788" spans="4:5" x14ac:dyDescent="0.2">
      <c r="D788" s="6"/>
      <c r="E788" s="6"/>
    </row>
    <row r="789" spans="4:5" x14ac:dyDescent="0.2">
      <c r="D789" s="6"/>
      <c r="E789" s="6"/>
    </row>
    <row r="790" spans="4:5" x14ac:dyDescent="0.2">
      <c r="D790" s="6"/>
      <c r="E790" s="6"/>
    </row>
    <row r="791" spans="4:5" x14ac:dyDescent="0.2">
      <c r="D791" s="6"/>
      <c r="E791" s="6"/>
    </row>
    <row r="792" spans="4:5" x14ac:dyDescent="0.2">
      <c r="D792" s="6"/>
      <c r="E792" s="6"/>
    </row>
    <row r="793" spans="4:5" x14ac:dyDescent="0.2">
      <c r="D793" s="6"/>
      <c r="E793" s="6"/>
    </row>
    <row r="794" spans="4:5" x14ac:dyDescent="0.2">
      <c r="D794" s="6"/>
      <c r="E794" s="6"/>
    </row>
    <row r="795" spans="4:5" x14ac:dyDescent="0.2">
      <c r="D795" s="6"/>
      <c r="E795" s="6"/>
    </row>
    <row r="796" spans="4:5" x14ac:dyDescent="0.2">
      <c r="D796" s="6"/>
      <c r="E796" s="6"/>
    </row>
    <row r="797" spans="4:5" x14ac:dyDescent="0.2">
      <c r="D797" s="6"/>
      <c r="E797" s="6"/>
    </row>
    <row r="798" spans="4:5" x14ac:dyDescent="0.2">
      <c r="D798" s="6"/>
      <c r="E798" s="6"/>
    </row>
    <row r="799" spans="4:5" x14ac:dyDescent="0.2">
      <c r="D799" s="6"/>
      <c r="E799" s="6"/>
    </row>
    <row r="800" spans="4:5" x14ac:dyDescent="0.2">
      <c r="D800" s="6"/>
      <c r="E800" s="6"/>
    </row>
    <row r="801" spans="4:5" x14ac:dyDescent="0.2">
      <c r="D801" s="6"/>
      <c r="E801" s="6"/>
    </row>
    <row r="802" spans="4:5" x14ac:dyDescent="0.2">
      <c r="D802" s="6"/>
      <c r="E802" s="6"/>
    </row>
    <row r="803" spans="4:5" x14ac:dyDescent="0.2">
      <c r="D803" s="6"/>
      <c r="E803" s="6"/>
    </row>
    <row r="804" spans="4:5" x14ac:dyDescent="0.2">
      <c r="D804" s="6"/>
      <c r="E804" s="6"/>
    </row>
    <row r="805" spans="4:5" x14ac:dyDescent="0.2">
      <c r="D805" s="6"/>
      <c r="E805" s="6"/>
    </row>
    <row r="806" spans="4:5" x14ac:dyDescent="0.2">
      <c r="D806" s="6"/>
      <c r="E806" s="6"/>
    </row>
    <row r="807" spans="4:5" x14ac:dyDescent="0.2">
      <c r="D807" s="6"/>
      <c r="E807" s="6"/>
    </row>
    <row r="808" spans="4:5" x14ac:dyDescent="0.2">
      <c r="D808" s="6"/>
      <c r="E808" s="6"/>
    </row>
    <row r="809" spans="4:5" x14ac:dyDescent="0.2">
      <c r="D809" s="6"/>
      <c r="E809" s="6"/>
    </row>
    <row r="810" spans="4:5" x14ac:dyDescent="0.2">
      <c r="D810" s="6"/>
      <c r="E810" s="6"/>
    </row>
    <row r="811" spans="4:5" x14ac:dyDescent="0.2">
      <c r="D811" s="6"/>
      <c r="E811" s="6"/>
    </row>
    <row r="812" spans="4:5" x14ac:dyDescent="0.2">
      <c r="D812" s="6"/>
      <c r="E812" s="6"/>
    </row>
    <row r="813" spans="4:5" x14ac:dyDescent="0.2">
      <c r="D813" s="6"/>
      <c r="E813" s="6"/>
    </row>
    <row r="814" spans="4:5" x14ac:dyDescent="0.2">
      <c r="D814" s="6"/>
      <c r="E814" s="6"/>
    </row>
    <row r="815" spans="4:5" x14ac:dyDescent="0.2">
      <c r="D815" s="6"/>
      <c r="E815" s="6"/>
    </row>
    <row r="816" spans="4:5" x14ac:dyDescent="0.2">
      <c r="D816" s="6"/>
      <c r="E816" s="6"/>
    </row>
    <row r="817" spans="4:5" x14ac:dyDescent="0.2">
      <c r="D817" s="6"/>
      <c r="E817" s="6"/>
    </row>
    <row r="818" spans="4:5" x14ac:dyDescent="0.2">
      <c r="D818" s="6"/>
      <c r="E818" s="6"/>
    </row>
    <row r="819" spans="4:5" x14ac:dyDescent="0.2">
      <c r="D819" s="6"/>
      <c r="E819" s="6"/>
    </row>
    <row r="820" spans="4:5" x14ac:dyDescent="0.2">
      <c r="D820" s="6"/>
      <c r="E820" s="6"/>
    </row>
    <row r="821" spans="4:5" x14ac:dyDescent="0.2">
      <c r="D821" s="6"/>
      <c r="E821" s="6"/>
    </row>
    <row r="822" spans="4:5" x14ac:dyDescent="0.2">
      <c r="D822" s="6"/>
      <c r="E822" s="6"/>
    </row>
    <row r="823" spans="4:5" x14ac:dyDescent="0.2">
      <c r="D823" s="6"/>
      <c r="E823" s="6"/>
    </row>
    <row r="824" spans="4:5" x14ac:dyDescent="0.2">
      <c r="D824" s="6"/>
      <c r="E824" s="6"/>
    </row>
    <row r="825" spans="4:5" x14ac:dyDescent="0.2">
      <c r="D825" s="6"/>
      <c r="E825" s="6"/>
    </row>
    <row r="826" spans="4:5" x14ac:dyDescent="0.2">
      <c r="D826" s="6"/>
      <c r="E826" s="6"/>
    </row>
    <row r="827" spans="4:5" x14ac:dyDescent="0.2">
      <c r="D827" s="6"/>
      <c r="E827" s="6"/>
    </row>
    <row r="828" spans="4:5" x14ac:dyDescent="0.2">
      <c r="D828" s="6"/>
      <c r="E828" s="6"/>
    </row>
    <row r="829" spans="4:5" x14ac:dyDescent="0.2">
      <c r="D829" s="6"/>
      <c r="E829" s="6"/>
    </row>
    <row r="830" spans="4:5" x14ac:dyDescent="0.2">
      <c r="D830" s="6"/>
      <c r="E830" s="6"/>
    </row>
    <row r="831" spans="4:5" x14ac:dyDescent="0.2">
      <c r="D831" s="6"/>
      <c r="E831" s="6"/>
    </row>
    <row r="832" spans="4:5" x14ac:dyDescent="0.2">
      <c r="D832" s="6"/>
      <c r="E832" s="6"/>
    </row>
    <row r="833" spans="4:5" x14ac:dyDescent="0.2">
      <c r="D833" s="6"/>
      <c r="E833" s="6"/>
    </row>
    <row r="834" spans="4:5" x14ac:dyDescent="0.2">
      <c r="D834" s="6"/>
      <c r="E834" s="6"/>
    </row>
    <row r="835" spans="4:5" x14ac:dyDescent="0.2">
      <c r="D835" s="6"/>
      <c r="E835" s="6"/>
    </row>
    <row r="836" spans="4:5" x14ac:dyDescent="0.2">
      <c r="D836" s="6"/>
      <c r="E836" s="6"/>
    </row>
    <row r="837" spans="4:5" x14ac:dyDescent="0.2">
      <c r="D837" s="6"/>
      <c r="E837" s="6"/>
    </row>
    <row r="838" spans="4:5" x14ac:dyDescent="0.2">
      <c r="D838" s="6"/>
      <c r="E838" s="6"/>
    </row>
    <row r="839" spans="4:5" x14ac:dyDescent="0.2">
      <c r="D839" s="6"/>
      <c r="E839" s="6"/>
    </row>
    <row r="840" spans="4:5" x14ac:dyDescent="0.2">
      <c r="D840" s="6"/>
      <c r="E840" s="6"/>
    </row>
    <row r="841" spans="4:5" x14ac:dyDescent="0.2">
      <c r="D841" s="6"/>
      <c r="E841" s="6"/>
    </row>
    <row r="842" spans="4:5" x14ac:dyDescent="0.2">
      <c r="D842" s="6"/>
      <c r="E842" s="6"/>
    </row>
    <row r="843" spans="4:5" x14ac:dyDescent="0.2">
      <c r="D843" s="6"/>
      <c r="E843" s="6"/>
    </row>
    <row r="844" spans="4:5" x14ac:dyDescent="0.2">
      <c r="D844" s="6"/>
      <c r="E844" s="6"/>
    </row>
    <row r="845" spans="4:5" x14ac:dyDescent="0.2">
      <c r="D845" s="6"/>
      <c r="E845" s="6"/>
    </row>
    <row r="846" spans="4:5" x14ac:dyDescent="0.2">
      <c r="D846" s="6"/>
      <c r="E846" s="6"/>
    </row>
    <row r="847" spans="4:5" x14ac:dyDescent="0.2">
      <c r="D847" s="6"/>
      <c r="E847" s="6"/>
    </row>
    <row r="848" spans="4:5" x14ac:dyDescent="0.2">
      <c r="D848" s="6"/>
      <c r="E848" s="6"/>
    </row>
    <row r="849" spans="4:5" x14ac:dyDescent="0.2">
      <c r="D849" s="6"/>
      <c r="E849" s="6"/>
    </row>
    <row r="850" spans="4:5" x14ac:dyDescent="0.2">
      <c r="D850" s="6"/>
      <c r="E850" s="6"/>
    </row>
    <row r="851" spans="4:5" x14ac:dyDescent="0.2">
      <c r="D851" s="6"/>
      <c r="E851" s="6"/>
    </row>
    <row r="852" spans="4:5" x14ac:dyDescent="0.2">
      <c r="D852" s="6"/>
      <c r="E852" s="6"/>
    </row>
    <row r="853" spans="4:5" x14ac:dyDescent="0.2">
      <c r="D853" s="6"/>
      <c r="E853" s="6"/>
    </row>
    <row r="854" spans="4:5" x14ac:dyDescent="0.2">
      <c r="D854" s="6"/>
      <c r="E854" s="6"/>
    </row>
    <row r="855" spans="4:5" x14ac:dyDescent="0.2">
      <c r="D855" s="6"/>
      <c r="E855" s="6"/>
    </row>
    <row r="856" spans="4:5" x14ac:dyDescent="0.2">
      <c r="D856" s="6"/>
      <c r="E856" s="6"/>
    </row>
    <row r="857" spans="4:5" x14ac:dyDescent="0.2">
      <c r="D857" s="6"/>
      <c r="E857" s="6"/>
    </row>
    <row r="858" spans="4:5" x14ac:dyDescent="0.2">
      <c r="D858" s="6"/>
      <c r="E858" s="6"/>
    </row>
    <row r="859" spans="4:5" x14ac:dyDescent="0.2">
      <c r="D859" s="6"/>
      <c r="E859" s="6"/>
    </row>
    <row r="860" spans="4:5" x14ac:dyDescent="0.2">
      <c r="D860" s="6"/>
      <c r="E860" s="6"/>
    </row>
    <row r="861" spans="4:5" x14ac:dyDescent="0.2">
      <c r="D861" s="6"/>
      <c r="E861" s="6"/>
    </row>
    <row r="862" spans="4:5" x14ac:dyDescent="0.2">
      <c r="D862" s="6"/>
      <c r="E862" s="6"/>
    </row>
    <row r="863" spans="4:5" x14ac:dyDescent="0.2">
      <c r="D863" s="6"/>
      <c r="E863" s="6"/>
    </row>
    <row r="864" spans="4:5" x14ac:dyDescent="0.2">
      <c r="D864" s="6"/>
      <c r="E864" s="6"/>
    </row>
    <row r="865" spans="4:5" x14ac:dyDescent="0.2">
      <c r="D865" s="6"/>
      <c r="E865" s="6"/>
    </row>
    <row r="866" spans="4:5" x14ac:dyDescent="0.2">
      <c r="D866" s="6"/>
      <c r="E866" s="6"/>
    </row>
    <row r="867" spans="4:5" x14ac:dyDescent="0.2">
      <c r="D867" s="6"/>
      <c r="E867" s="6"/>
    </row>
    <row r="868" spans="4:5" x14ac:dyDescent="0.2">
      <c r="D868" s="6"/>
      <c r="E868" s="6"/>
    </row>
    <row r="869" spans="4:5" x14ac:dyDescent="0.2">
      <c r="D869" s="6"/>
      <c r="E869" s="6"/>
    </row>
    <row r="870" spans="4:5" x14ac:dyDescent="0.2">
      <c r="D870" s="6"/>
      <c r="E870" s="6"/>
    </row>
    <row r="871" spans="4:5" x14ac:dyDescent="0.2">
      <c r="D871" s="6"/>
      <c r="E871" s="6"/>
    </row>
    <row r="872" spans="4:5" x14ac:dyDescent="0.2">
      <c r="D872" s="6"/>
      <c r="E872" s="6"/>
    </row>
    <row r="873" spans="4:5" x14ac:dyDescent="0.2">
      <c r="D873" s="6"/>
      <c r="E873" s="6"/>
    </row>
    <row r="874" spans="4:5" x14ac:dyDescent="0.2">
      <c r="D874" s="6"/>
      <c r="E874" s="6"/>
    </row>
    <row r="875" spans="4:5" x14ac:dyDescent="0.2">
      <c r="D875" s="6"/>
      <c r="E875" s="6"/>
    </row>
    <row r="876" spans="4:5" x14ac:dyDescent="0.2">
      <c r="D876" s="6"/>
      <c r="E876" s="6"/>
    </row>
    <row r="877" spans="4:5" x14ac:dyDescent="0.2">
      <c r="D877" s="6"/>
      <c r="E877" s="6"/>
    </row>
    <row r="878" spans="4:5" x14ac:dyDescent="0.2">
      <c r="D878" s="6"/>
      <c r="E878" s="6"/>
    </row>
    <row r="879" spans="4:5" x14ac:dyDescent="0.2">
      <c r="D879" s="6"/>
      <c r="E879" s="6"/>
    </row>
    <row r="880" spans="4:5" x14ac:dyDescent="0.2">
      <c r="D880" s="6"/>
      <c r="E880" s="6"/>
    </row>
    <row r="881" spans="4:5" x14ac:dyDescent="0.2">
      <c r="D881" s="6"/>
      <c r="E881" s="6"/>
    </row>
    <row r="882" spans="4:5" x14ac:dyDescent="0.2">
      <c r="D882" s="6"/>
      <c r="E882" s="6"/>
    </row>
    <row r="883" spans="4:5" x14ac:dyDescent="0.2">
      <c r="D883" s="6"/>
      <c r="E883" s="6"/>
    </row>
    <row r="884" spans="4:5" x14ac:dyDescent="0.2">
      <c r="D884" s="6"/>
      <c r="E884" s="6"/>
    </row>
    <row r="885" spans="4:5" x14ac:dyDescent="0.2">
      <c r="D885" s="6"/>
      <c r="E885" s="6"/>
    </row>
    <row r="886" spans="4:5" x14ac:dyDescent="0.2">
      <c r="D886" s="6"/>
      <c r="E886" s="6"/>
    </row>
    <row r="887" spans="4:5" x14ac:dyDescent="0.2">
      <c r="D887" s="6"/>
      <c r="E887" s="6"/>
    </row>
    <row r="888" spans="4:5" x14ac:dyDescent="0.2">
      <c r="D888" s="6"/>
      <c r="E888" s="6"/>
    </row>
    <row r="889" spans="4:5" x14ac:dyDescent="0.2">
      <c r="D889" s="6"/>
      <c r="E889" s="6"/>
    </row>
    <row r="890" spans="4:5" x14ac:dyDescent="0.2">
      <c r="D890" s="6"/>
      <c r="E890" s="6"/>
    </row>
    <row r="891" spans="4:5" x14ac:dyDescent="0.2">
      <c r="D891" s="6"/>
      <c r="E891" s="6"/>
    </row>
    <row r="892" spans="4:5" x14ac:dyDescent="0.2">
      <c r="D892" s="6"/>
      <c r="E892" s="6"/>
    </row>
    <row r="893" spans="4:5" x14ac:dyDescent="0.2">
      <c r="D893" s="6"/>
      <c r="E893" s="6"/>
    </row>
    <row r="894" spans="4:5" x14ac:dyDescent="0.2">
      <c r="D894" s="6"/>
      <c r="E894" s="6"/>
    </row>
    <row r="895" spans="4:5" x14ac:dyDescent="0.2">
      <c r="D895" s="6"/>
      <c r="E895" s="6"/>
    </row>
    <row r="896" spans="4:5" x14ac:dyDescent="0.2">
      <c r="D896" s="6"/>
      <c r="E896" s="6"/>
    </row>
    <row r="897" spans="4:5" x14ac:dyDescent="0.2">
      <c r="D897" s="6"/>
      <c r="E897" s="6"/>
    </row>
    <row r="898" spans="4:5" x14ac:dyDescent="0.2">
      <c r="D898" s="6"/>
      <c r="E898" s="6"/>
    </row>
    <row r="899" spans="4:5" x14ac:dyDescent="0.2">
      <c r="D899" s="6"/>
      <c r="E899" s="6"/>
    </row>
    <row r="900" spans="4:5" x14ac:dyDescent="0.2">
      <c r="D900" s="6"/>
      <c r="E900" s="6"/>
    </row>
    <row r="901" spans="4:5" x14ac:dyDescent="0.2">
      <c r="D901" s="6"/>
      <c r="E901" s="6"/>
    </row>
    <row r="902" spans="4:5" x14ac:dyDescent="0.2">
      <c r="D902" s="6"/>
      <c r="E902" s="6"/>
    </row>
    <row r="903" spans="4:5" x14ac:dyDescent="0.2">
      <c r="D903" s="6"/>
      <c r="E903" s="6"/>
    </row>
    <row r="904" spans="4:5" x14ac:dyDescent="0.2">
      <c r="D904" s="6"/>
      <c r="E904" s="6"/>
    </row>
    <row r="905" spans="4:5" x14ac:dyDescent="0.2">
      <c r="D905" s="6"/>
      <c r="E905" s="6"/>
    </row>
    <row r="906" spans="4:5" x14ac:dyDescent="0.2">
      <c r="D906" s="6"/>
      <c r="E906" s="6"/>
    </row>
    <row r="907" spans="4:5" x14ac:dyDescent="0.2">
      <c r="D907" s="6"/>
      <c r="E907" s="6"/>
    </row>
    <row r="908" spans="4:5" x14ac:dyDescent="0.2">
      <c r="D908" s="6"/>
      <c r="E908" s="6"/>
    </row>
    <row r="909" spans="4:5" x14ac:dyDescent="0.2">
      <c r="D909" s="6"/>
      <c r="E909" s="6"/>
    </row>
    <row r="910" spans="4:5" x14ac:dyDescent="0.2">
      <c r="D910" s="6"/>
      <c r="E910" s="6"/>
    </row>
    <row r="911" spans="4:5" x14ac:dyDescent="0.2">
      <c r="D911" s="6"/>
      <c r="E911" s="6"/>
    </row>
    <row r="912" spans="4:5" x14ac:dyDescent="0.2">
      <c r="D912" s="6"/>
      <c r="E912" s="6"/>
    </row>
    <row r="913" spans="4:5" x14ac:dyDescent="0.2">
      <c r="D913" s="6"/>
      <c r="E913" s="6"/>
    </row>
    <row r="914" spans="4:5" x14ac:dyDescent="0.2">
      <c r="D914" s="6"/>
      <c r="E914" s="6"/>
    </row>
    <row r="915" spans="4:5" x14ac:dyDescent="0.2">
      <c r="D915" s="6"/>
      <c r="E915" s="6"/>
    </row>
    <row r="916" spans="4:5" x14ac:dyDescent="0.2">
      <c r="D916" s="6"/>
      <c r="E916" s="6"/>
    </row>
    <row r="917" spans="4:5" x14ac:dyDescent="0.2">
      <c r="D917" s="6"/>
      <c r="E917" s="6"/>
    </row>
    <row r="918" spans="4:5" x14ac:dyDescent="0.2">
      <c r="D918" s="6"/>
      <c r="E918" s="6"/>
    </row>
    <row r="919" spans="4:5" x14ac:dyDescent="0.2">
      <c r="D919" s="6"/>
      <c r="E919" s="6"/>
    </row>
    <row r="920" spans="4:5" x14ac:dyDescent="0.2">
      <c r="D920" s="6"/>
      <c r="E920" s="6"/>
    </row>
    <row r="921" spans="4:5" x14ac:dyDescent="0.2">
      <c r="D921" s="6"/>
      <c r="E921" s="6"/>
    </row>
    <row r="922" spans="4:5" x14ac:dyDescent="0.2">
      <c r="D922" s="6"/>
      <c r="E922" s="6"/>
    </row>
    <row r="923" spans="4:5" x14ac:dyDescent="0.2">
      <c r="D923" s="6"/>
      <c r="E923" s="6"/>
    </row>
    <row r="924" spans="4:5" x14ac:dyDescent="0.2">
      <c r="D924" s="6"/>
      <c r="E924" s="6"/>
    </row>
    <row r="925" spans="4:5" x14ac:dyDescent="0.2">
      <c r="D925" s="6"/>
      <c r="E925" s="6"/>
    </row>
    <row r="926" spans="4:5" x14ac:dyDescent="0.2">
      <c r="D926" s="6"/>
      <c r="E926" s="6"/>
    </row>
    <row r="927" spans="4:5" x14ac:dyDescent="0.2">
      <c r="D927" s="6"/>
      <c r="E927" s="6"/>
    </row>
    <row r="928" spans="4:5" x14ac:dyDescent="0.2">
      <c r="D928" s="6"/>
      <c r="E928" s="6"/>
    </row>
    <row r="929" spans="4:5" x14ac:dyDescent="0.2">
      <c r="D929" s="6"/>
      <c r="E929" s="6"/>
    </row>
    <row r="930" spans="4:5" x14ac:dyDescent="0.2">
      <c r="D930" s="6"/>
      <c r="E930" s="6"/>
    </row>
    <row r="931" spans="4:5" x14ac:dyDescent="0.2">
      <c r="D931" s="6"/>
      <c r="E931" s="6"/>
    </row>
    <row r="932" spans="4:5" x14ac:dyDescent="0.2">
      <c r="D932" s="6"/>
      <c r="E932" s="6"/>
    </row>
    <row r="933" spans="4:5" x14ac:dyDescent="0.2">
      <c r="D933" s="6"/>
      <c r="E933" s="6"/>
    </row>
    <row r="934" spans="4:5" x14ac:dyDescent="0.2">
      <c r="D934" s="6"/>
      <c r="E934" s="6"/>
    </row>
    <row r="935" spans="4:5" x14ac:dyDescent="0.2">
      <c r="D935" s="6"/>
      <c r="E935" s="6"/>
    </row>
    <row r="936" spans="4:5" x14ac:dyDescent="0.2">
      <c r="D936" s="6"/>
      <c r="E936" s="6"/>
    </row>
    <row r="937" spans="4:5" x14ac:dyDescent="0.2">
      <c r="D937" s="6"/>
      <c r="E937" s="6"/>
    </row>
    <row r="938" spans="4:5" x14ac:dyDescent="0.2">
      <c r="D938" s="6"/>
      <c r="E938" s="6"/>
    </row>
    <row r="939" spans="4:5" x14ac:dyDescent="0.2">
      <c r="D939" s="6"/>
      <c r="E939" s="6"/>
    </row>
    <row r="940" spans="4:5" x14ac:dyDescent="0.2">
      <c r="D940" s="6"/>
      <c r="E940" s="6"/>
    </row>
    <row r="941" spans="4:5" x14ac:dyDescent="0.2">
      <c r="D941" s="6"/>
      <c r="E941" s="6"/>
    </row>
    <row r="942" spans="4:5" x14ac:dyDescent="0.2">
      <c r="D942" s="6"/>
      <c r="E942" s="6"/>
    </row>
    <row r="943" spans="4:5" x14ac:dyDescent="0.2">
      <c r="D943" s="6"/>
      <c r="E943" s="6"/>
    </row>
    <row r="944" spans="4:5" x14ac:dyDescent="0.2">
      <c r="D944" s="6"/>
      <c r="E944" s="6"/>
    </row>
    <row r="945" spans="4:5" x14ac:dyDescent="0.2">
      <c r="D945" s="6"/>
      <c r="E945" s="6"/>
    </row>
    <row r="946" spans="4:5" x14ac:dyDescent="0.2">
      <c r="D946" s="6"/>
      <c r="E946" s="6"/>
    </row>
    <row r="947" spans="4:5" x14ac:dyDescent="0.2">
      <c r="D947" s="6"/>
      <c r="E947" s="6"/>
    </row>
    <row r="948" spans="4:5" x14ac:dyDescent="0.2">
      <c r="D948" s="6"/>
      <c r="E948" s="6"/>
    </row>
    <row r="949" spans="4:5" x14ac:dyDescent="0.2">
      <c r="D949" s="6"/>
      <c r="E949" s="6"/>
    </row>
    <row r="950" spans="4:5" x14ac:dyDescent="0.2">
      <c r="D950" s="6"/>
      <c r="E950" s="6"/>
    </row>
    <row r="951" spans="4:5" x14ac:dyDescent="0.2">
      <c r="D951" s="6"/>
      <c r="E951" s="6"/>
    </row>
    <row r="952" spans="4:5" x14ac:dyDescent="0.2">
      <c r="D952" s="6"/>
      <c r="E952" s="6"/>
    </row>
    <row r="953" spans="4:5" x14ac:dyDescent="0.2">
      <c r="D953" s="6"/>
      <c r="E953" s="6"/>
    </row>
    <row r="954" spans="4:5" x14ac:dyDescent="0.2">
      <c r="D954" s="6"/>
      <c r="E954" s="6"/>
    </row>
    <row r="955" spans="4:5" x14ac:dyDescent="0.2">
      <c r="D955" s="6"/>
      <c r="E955" s="6"/>
    </row>
    <row r="956" spans="4:5" x14ac:dyDescent="0.2">
      <c r="D956" s="6"/>
      <c r="E956" s="6"/>
    </row>
    <row r="957" spans="4:5" x14ac:dyDescent="0.2">
      <c r="D957" s="6"/>
      <c r="E957" s="6"/>
    </row>
    <row r="958" spans="4:5" x14ac:dyDescent="0.2">
      <c r="D958" s="6"/>
      <c r="E958" s="6"/>
    </row>
    <row r="959" spans="4:5" x14ac:dyDescent="0.2">
      <c r="D959" s="6"/>
      <c r="E959" s="6"/>
    </row>
    <row r="960" spans="4:5" x14ac:dyDescent="0.2">
      <c r="D960" s="6"/>
      <c r="E960" s="6"/>
    </row>
    <row r="961" spans="4:5" x14ac:dyDescent="0.2">
      <c r="D961" s="6"/>
      <c r="E961" s="6"/>
    </row>
    <row r="962" spans="4:5" x14ac:dyDescent="0.2">
      <c r="D962" s="6"/>
      <c r="E962" s="6"/>
    </row>
    <row r="963" spans="4:5" x14ac:dyDescent="0.2">
      <c r="D963" s="6"/>
      <c r="E963" s="6"/>
    </row>
    <row r="964" spans="4:5" x14ac:dyDescent="0.2">
      <c r="D964" s="6"/>
      <c r="E964" s="6"/>
    </row>
    <row r="965" spans="4:5" x14ac:dyDescent="0.2">
      <c r="D965" s="6"/>
      <c r="E965" s="6"/>
    </row>
    <row r="966" spans="4:5" x14ac:dyDescent="0.2">
      <c r="D966" s="6"/>
      <c r="E966" s="6"/>
    </row>
    <row r="967" spans="4:5" x14ac:dyDescent="0.2">
      <c r="D967" s="6"/>
      <c r="E967" s="6"/>
    </row>
    <row r="968" spans="4:5" x14ac:dyDescent="0.2">
      <c r="D968" s="6"/>
      <c r="E968" s="6"/>
    </row>
    <row r="969" spans="4:5" x14ac:dyDescent="0.2">
      <c r="D969" s="6"/>
      <c r="E969" s="6"/>
    </row>
    <row r="970" spans="4:5" x14ac:dyDescent="0.2">
      <c r="D970" s="6"/>
      <c r="E970" s="6"/>
    </row>
    <row r="971" spans="4:5" x14ac:dyDescent="0.2">
      <c r="D971" s="6"/>
      <c r="E971" s="6"/>
    </row>
    <row r="972" spans="4:5" x14ac:dyDescent="0.2">
      <c r="D972" s="6"/>
      <c r="E972" s="6"/>
    </row>
    <row r="973" spans="4:5" x14ac:dyDescent="0.2">
      <c r="D973" s="6"/>
      <c r="E973" s="6"/>
    </row>
    <row r="974" spans="4:5" x14ac:dyDescent="0.2">
      <c r="D974" s="6"/>
      <c r="E974" s="6"/>
    </row>
    <row r="975" spans="4:5" x14ac:dyDescent="0.2">
      <c r="D975" s="6"/>
      <c r="E975" s="6"/>
    </row>
    <row r="976" spans="4:5" x14ac:dyDescent="0.2">
      <c r="D976" s="6"/>
      <c r="E976" s="6"/>
    </row>
    <row r="977" spans="4:5" x14ac:dyDescent="0.2">
      <c r="D977" s="6"/>
      <c r="E977" s="6"/>
    </row>
    <row r="978" spans="4:5" x14ac:dyDescent="0.2">
      <c r="D978" s="6"/>
      <c r="E978" s="6"/>
    </row>
    <row r="979" spans="4:5" x14ac:dyDescent="0.2">
      <c r="D979" s="6"/>
      <c r="E979" s="6"/>
    </row>
    <row r="980" spans="4:5" x14ac:dyDescent="0.2">
      <c r="D980" s="6"/>
      <c r="E980" s="6"/>
    </row>
    <row r="981" spans="4:5" x14ac:dyDescent="0.2">
      <c r="D981" s="6"/>
      <c r="E981" s="6"/>
    </row>
    <row r="982" spans="4:5" x14ac:dyDescent="0.2">
      <c r="D982" s="6"/>
      <c r="E982" s="6"/>
    </row>
    <row r="983" spans="4:5" x14ac:dyDescent="0.2">
      <c r="D983" s="6"/>
      <c r="E983" s="6"/>
    </row>
    <row r="984" spans="4:5" x14ac:dyDescent="0.2">
      <c r="D984" s="6"/>
      <c r="E984" s="6"/>
    </row>
    <row r="985" spans="4:5" x14ac:dyDescent="0.2">
      <c r="D985" s="6"/>
      <c r="E985" s="6"/>
    </row>
    <row r="986" spans="4:5" x14ac:dyDescent="0.2">
      <c r="D986" s="6"/>
      <c r="E986" s="6"/>
    </row>
    <row r="987" spans="4:5" x14ac:dyDescent="0.2">
      <c r="D987" s="6"/>
      <c r="E987" s="6"/>
    </row>
    <row r="988" spans="4:5" x14ac:dyDescent="0.2">
      <c r="D988" s="6"/>
      <c r="E988" s="6"/>
    </row>
    <row r="989" spans="4:5" x14ac:dyDescent="0.2">
      <c r="D989" s="6"/>
      <c r="E989" s="6"/>
    </row>
    <row r="990" spans="4:5" x14ac:dyDescent="0.2">
      <c r="D990" s="6"/>
      <c r="E990" s="6"/>
    </row>
    <row r="991" spans="4:5" x14ac:dyDescent="0.2">
      <c r="D991" s="6"/>
      <c r="E991" s="6"/>
    </row>
    <row r="992" spans="4:5" x14ac:dyDescent="0.2">
      <c r="D992" s="6"/>
      <c r="E992" s="6"/>
    </row>
    <row r="993" spans="4:5" x14ac:dyDescent="0.2">
      <c r="D993" s="6"/>
      <c r="E993" s="6"/>
    </row>
    <row r="994" spans="4:5" x14ac:dyDescent="0.2">
      <c r="D994" s="6"/>
      <c r="E994" s="6"/>
    </row>
    <row r="995" spans="4:5" x14ac:dyDescent="0.2">
      <c r="D995" s="6"/>
      <c r="E995" s="6"/>
    </row>
    <row r="996" spans="4:5" x14ac:dyDescent="0.2">
      <c r="D996" s="6"/>
      <c r="E996" s="6"/>
    </row>
    <row r="997" spans="4:5" x14ac:dyDescent="0.2">
      <c r="D997" s="6"/>
      <c r="E997" s="6"/>
    </row>
    <row r="998" spans="4:5" x14ac:dyDescent="0.2">
      <c r="D998" s="6"/>
      <c r="E998" s="6"/>
    </row>
  </sheetData>
  <phoneticPr fontId="9" type="noConversion"/>
  <pageMargins left="0.75" right="0.75" top="1" bottom="1" header="0" footer="0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Introduzione </vt:lpstr>
      <vt:lpstr>Giudizio</vt:lpstr>
      <vt:lpstr>Frutta</vt:lpstr>
      <vt:lpstr>Fatture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"Daniele Gagliardi" &lt;danygag82@gmail.com&gt;</dc:creator>
  <cp:lastModifiedBy>Nosiba Hider</cp:lastModifiedBy>
  <dcterms:created xsi:type="dcterms:W3CDTF">2005-04-12T12:35:30Z</dcterms:created>
  <dcterms:modified xsi:type="dcterms:W3CDTF">2026-07-18T09:12:19Z</dcterms:modified>
</cp:coreProperties>
</file>